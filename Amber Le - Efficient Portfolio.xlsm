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SổlàmviệcNày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7c00922ebbd273c/Máy tính/STUDY DOCS/MATHEMATICAL FINANCE/"/>
    </mc:Choice>
  </mc:AlternateContent>
  <xr:revisionPtr revIDLastSave="14607" documentId="13_ncr:1_{1812367D-31E4-4FE6-954A-CC7FCB7056F9}" xr6:coauthVersionLast="47" xr6:coauthVersionMax="47" xr10:uidLastSave="{89F0112C-842A-46EE-9B77-4FA40743E6B9}"/>
  <workbookProtection workbookAlgorithmName="SHA-512" workbookHashValue="pFKvKxih57yTXA2RfpaLeIVa0TgGYZ5tMFMjtpzfOe1/tmyMauXfeu+gzcgC+d9WMlzA70XME/+hFIxSvxQo9Q==" workbookSaltValue="2X7+/kyQvvf4gjk8S5Pt0Q==" workbookSpinCount="100000" lockStructure="1"/>
  <bookViews>
    <workbookView xWindow="-110" yWindow="-110" windowWidth="19420" windowHeight="10300" firstSheet="4" activeTab="8" xr2:uid="{04D4CD68-0151-4C69-ADFA-06D1C75B92B0}"/>
  </bookViews>
  <sheets>
    <sheet name="READ ME" sheetId="13" r:id="rId1"/>
    <sheet name="Price" sheetId="1" r:id="rId2"/>
    <sheet name="ROR-Var-Sd" sheetId="3" r:id="rId3"/>
    <sheet name="Var-Cov Matrix" sheetId="5" r:id="rId4"/>
    <sheet name="EfficientFrontier w SS" sheetId="15" r:id="rId5"/>
    <sheet name="Efficient Frontier wo SS" sheetId="6" r:id="rId6"/>
    <sheet name="Short vs No Short" sheetId="7" r:id="rId7"/>
    <sheet name="CML" sheetId="12" r:id="rId8"/>
    <sheet name="SML" sheetId="9" r:id="rId9"/>
  </sheets>
  <functionGroups builtInGroupCount="19"/>
  <externalReferences>
    <externalReference r:id="rId10"/>
  </externalReferences>
  <definedNames>
    <definedName name="Constant">'Efficient Frontier wo SS'!$C$35</definedName>
    <definedName name="Portfolio_mean" localSheetId="4">'[1]4. NO SHORT SELL'!$B$70</definedName>
    <definedName name="Portfolio_mean">'Efficient Frontier wo SS'!$B$70</definedName>
    <definedName name="Portfolio_sigma" localSheetId="4">'[1]4. NO SHORT SELL'!$B$71</definedName>
    <definedName name="Portfolio_sigma">'Efficient Frontier wo SS'!$B$71</definedName>
    <definedName name="RESULTS">'Efficient Frontier wo SS'!$A$75:$AG$174</definedName>
    <definedName name="solver_adj" localSheetId="7" hidden="1">CML!$O$37:$O$66</definedName>
    <definedName name="solver_adj" localSheetId="5" hidden="1">'Efficient Frontier wo SS'!$C$38:$C$67</definedName>
    <definedName name="solver_adj" localSheetId="4" hidden="1">'EfficientFrontier w SS'!$B$73</definedName>
    <definedName name="solver_cvg" localSheetId="7" hidden="1">0.0001</definedName>
    <definedName name="solver_cvg" localSheetId="5" hidden="1">0.0001</definedName>
    <definedName name="solver_cvg" localSheetId="4" hidden="1">0.0001</definedName>
    <definedName name="solver_drv" localSheetId="7" hidden="1">1</definedName>
    <definedName name="solver_drv" localSheetId="5" hidden="1">1</definedName>
    <definedName name="solver_drv" localSheetId="4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ng" localSheetId="8" hidden="1">1</definedName>
    <definedName name="solver_est" localSheetId="7" hidden="1">1</definedName>
    <definedName name="solver_est" localSheetId="5" hidden="1">1</definedName>
    <definedName name="solver_est" localSheetId="4" hidden="1">1</definedName>
    <definedName name="solver_itr" localSheetId="7" hidden="1">2147483647</definedName>
    <definedName name="solver_itr" localSheetId="5" hidden="1">2147483647</definedName>
    <definedName name="solver_itr" localSheetId="4" hidden="1">2147483647</definedName>
    <definedName name="solver_lhs1" localSheetId="7" hidden="1">CML!$O$37:$O$66</definedName>
    <definedName name="solver_lhs1" localSheetId="5" hidden="1">'Efficient Frontier wo SS'!$C$38:$C$67</definedName>
    <definedName name="solver_lhs2" localSheetId="7" hidden="1">CML!$O$67</definedName>
    <definedName name="solver_lhs2" localSheetId="5" hidden="1">'Efficient Frontier wo SS'!$C$68</definedName>
    <definedName name="solver_lhs2" localSheetId="4" hidden="1">'EfficientFrontier w SS'!$B$73</definedName>
    <definedName name="solver_lhs3" localSheetId="4" hidden="1">'EfficientFrontier w SS'!$B$73</definedName>
    <definedName name="solver_mip" localSheetId="7" hidden="1">2147483647</definedName>
    <definedName name="solver_mip" localSheetId="5" hidden="1">2147483647</definedName>
    <definedName name="solver_mip" localSheetId="4" hidden="1">2147483647</definedName>
    <definedName name="solver_mni" localSheetId="7" hidden="1">30</definedName>
    <definedName name="solver_mni" localSheetId="5" hidden="1">30</definedName>
    <definedName name="solver_mni" localSheetId="4" hidden="1">30</definedName>
    <definedName name="solver_mrt" localSheetId="7" hidden="1">0.075</definedName>
    <definedName name="solver_mrt" localSheetId="5" hidden="1">0.075</definedName>
    <definedName name="solver_mrt" localSheetId="4" hidden="1">0.075</definedName>
    <definedName name="solver_msl" localSheetId="7" hidden="1">2</definedName>
    <definedName name="solver_msl" localSheetId="5" hidden="1">2</definedName>
    <definedName name="solver_msl" localSheetId="4" hidden="1">2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eg" localSheetId="8" hidden="1">1</definedName>
    <definedName name="solver_nod" localSheetId="7" hidden="1">2147483647</definedName>
    <definedName name="solver_nod" localSheetId="5" hidden="1">2147483647</definedName>
    <definedName name="solver_nod" localSheetId="4" hidden="1">2147483647</definedName>
    <definedName name="solver_num" localSheetId="7" hidden="1">2</definedName>
    <definedName name="solver_num" localSheetId="5" hidden="1">2</definedName>
    <definedName name="solver_num" localSheetId="4" hidden="1">0</definedName>
    <definedName name="solver_num" localSheetId="8" hidden="1">0</definedName>
    <definedName name="solver_nwt" localSheetId="7" hidden="1">1</definedName>
    <definedName name="solver_nwt" localSheetId="5" hidden="1">1</definedName>
    <definedName name="solver_nwt" localSheetId="4" hidden="1">1</definedName>
    <definedName name="solver_opt" localSheetId="7" hidden="1">CML!$O$70</definedName>
    <definedName name="solver_opt" localSheetId="5" hidden="1">'Efficient Frontier wo SS'!$B$71</definedName>
    <definedName name="solver_opt" localSheetId="4" hidden="1">'EfficientFrontier w SS'!$B$75</definedName>
    <definedName name="solver_opt" localSheetId="8" hidden="1">SML!$J$14</definedName>
    <definedName name="solver_pre" localSheetId="7" hidden="1">0.000001</definedName>
    <definedName name="solver_pre" localSheetId="5" hidden="1">0.000001</definedName>
    <definedName name="solver_pre" localSheetId="4" hidden="1">0.000001</definedName>
    <definedName name="solver_rbv" localSheetId="7" hidden="1">1</definedName>
    <definedName name="solver_rbv" localSheetId="5" hidden="1">1</definedName>
    <definedName name="solver_rbv" localSheetId="4" hidden="1">1</definedName>
    <definedName name="solver_rel1" localSheetId="7" hidden="1">3</definedName>
    <definedName name="solver_rel1" localSheetId="5" hidden="1">3</definedName>
    <definedName name="solver_rel2" localSheetId="7" hidden="1">3</definedName>
    <definedName name="solver_rel2" localSheetId="5" hidden="1">2</definedName>
    <definedName name="solver_rel2" localSheetId="4" hidden="1">3</definedName>
    <definedName name="solver_rel3" localSheetId="4" hidden="1">1</definedName>
    <definedName name="solver_rhs1" localSheetId="7" hidden="1">0</definedName>
    <definedName name="solver_rhs1" localSheetId="5" hidden="1">0</definedName>
    <definedName name="solver_rhs2" localSheetId="7" hidden="1">1</definedName>
    <definedName name="solver_rhs2" localSheetId="5" hidden="1">1</definedName>
    <definedName name="solver_rhs2" localSheetId="4" hidden="1">0</definedName>
    <definedName name="solver_rhs3" localSheetId="4" hidden="1">1</definedName>
    <definedName name="solver_rlx" localSheetId="7" hidden="1">2</definedName>
    <definedName name="solver_rlx" localSheetId="5" hidden="1">2</definedName>
    <definedName name="solver_rlx" localSheetId="4" hidden="1">2</definedName>
    <definedName name="solver_rsd" localSheetId="7" hidden="1">0</definedName>
    <definedName name="solver_rsd" localSheetId="5" hidden="1">0</definedName>
    <definedName name="solver_rsd" localSheetId="4" hidden="1">0</definedName>
    <definedName name="solver_scl" localSheetId="7" hidden="1">1</definedName>
    <definedName name="solver_scl" localSheetId="5" hidden="1">1</definedName>
    <definedName name="solver_scl" localSheetId="4" hidden="1">1</definedName>
    <definedName name="solver_sho" localSheetId="7" hidden="1">2</definedName>
    <definedName name="solver_sho" localSheetId="5" hidden="1">2</definedName>
    <definedName name="solver_sho" localSheetId="4" hidden="1">2</definedName>
    <definedName name="solver_ssz" localSheetId="7" hidden="1">100</definedName>
    <definedName name="solver_ssz" localSheetId="5" hidden="1">100</definedName>
    <definedName name="solver_ssz" localSheetId="4" hidden="1">100</definedName>
    <definedName name="solver_tim" localSheetId="7" hidden="1">2147483647</definedName>
    <definedName name="solver_tim" localSheetId="5" hidden="1">2147483647</definedName>
    <definedName name="solver_tim" localSheetId="4" hidden="1">2147483647</definedName>
    <definedName name="solver_tol" localSheetId="7" hidden="1">0.01</definedName>
    <definedName name="solver_tol" localSheetId="5" hidden="1">0.01</definedName>
    <definedName name="solver_tol" localSheetId="4" hidden="1">0.01</definedName>
    <definedName name="solver_typ" localSheetId="7" hidden="1">1</definedName>
    <definedName name="solver_typ" localSheetId="5" hidden="1">2</definedName>
    <definedName name="solver_typ" localSheetId="4" hidden="1">2</definedName>
    <definedName name="solver_typ" localSheetId="8" hidden="1">1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al" localSheetId="8" hidden="1">0</definedName>
    <definedName name="solver_ver" localSheetId="7" hidden="1">3</definedName>
    <definedName name="solver_ver" localSheetId="5" hidden="1">3</definedName>
    <definedName name="solver_ver" localSheetId="4" hidden="1">3</definedName>
    <definedName name="solver_ver" localSheetId="8" hidden="1">3</definedName>
    <definedName name="x_1">'Efficient Frontier wo SS'!$C$38</definedName>
    <definedName name="x_10">'Efficient Frontier wo SS'!$C$47</definedName>
    <definedName name="x_11">'Efficient Frontier wo SS'!$C$48</definedName>
    <definedName name="x_12">'Efficient Frontier wo SS'!$C$49</definedName>
    <definedName name="x_13">'Efficient Frontier wo SS'!$C$50</definedName>
    <definedName name="x_14">'Efficient Frontier wo SS'!$C$51</definedName>
    <definedName name="x_15">'Efficient Frontier wo SS'!$C$52</definedName>
    <definedName name="x_16">'Efficient Frontier wo SS'!$C$53</definedName>
    <definedName name="x_17">'Efficient Frontier wo SS'!$C$54</definedName>
    <definedName name="x_18">'Efficient Frontier wo SS'!$C$55</definedName>
    <definedName name="x_19">'Efficient Frontier wo SS'!$C$56</definedName>
    <definedName name="x_2">'Efficient Frontier wo SS'!$C$39</definedName>
    <definedName name="x_20">'Efficient Frontier wo SS'!$C$57</definedName>
    <definedName name="x_21">'Efficient Frontier wo SS'!$C$58</definedName>
    <definedName name="x_22">'Efficient Frontier wo SS'!$C$59</definedName>
    <definedName name="x_23">'Efficient Frontier wo SS'!$C$60</definedName>
    <definedName name="x_24">'Efficient Frontier wo SS'!$C$61</definedName>
    <definedName name="x_25">'Efficient Frontier wo SS'!$C$62</definedName>
    <definedName name="x_26">'Efficient Frontier wo SS'!$C$63</definedName>
    <definedName name="x_27">'Efficient Frontier wo SS'!$C$64</definedName>
    <definedName name="x_28">'Efficient Frontier wo SS'!$C$65</definedName>
    <definedName name="x_29">'Efficient Frontier wo SS'!$C$66</definedName>
    <definedName name="x_3">'Efficient Frontier wo SS'!$C$40</definedName>
    <definedName name="x_30">'Efficient Frontier wo SS'!$C$67</definedName>
    <definedName name="x_4">'Efficient Frontier wo SS'!$C$41</definedName>
    <definedName name="x_5">'Efficient Frontier wo SS'!$C$42</definedName>
    <definedName name="x_6">'Efficient Frontier wo SS'!$C$43</definedName>
    <definedName name="x_7">'Efficient Frontier wo SS'!$C$44</definedName>
    <definedName name="x_8">'Efficient Frontier wo SS'!$C$45</definedName>
    <definedName name="x_9">'Efficient Frontier wo SS'!$C$46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" i="3" l="1"/>
  <c r="B37" i="12" a="1"/>
  <c r="B37" i="12" s="1"/>
  <c r="B127" i="15"/>
  <c r="R42" i="12"/>
  <c r="R41" i="12"/>
  <c r="S40" i="12"/>
  <c r="R40" i="12"/>
  <c r="S39" i="12"/>
  <c r="S41" i="12"/>
  <c r="S42" i="12"/>
  <c r="R39" i="12"/>
  <c r="B75" i="15"/>
  <c r="B74" i="15"/>
  <c r="O69" i="12" a="1"/>
  <c r="O69" i="12" s="1"/>
  <c r="O68" i="12"/>
  <c r="O67" i="12"/>
  <c r="B37" i="15" a="1"/>
  <c r="B37" i="15" s="1"/>
  <c r="F42" i="12"/>
  <c r="E42" i="12"/>
  <c r="G13" i="9" a="1"/>
  <c r="B64" i="12" l="1"/>
  <c r="B60" i="12"/>
  <c r="B56" i="12"/>
  <c r="B52" i="12"/>
  <c r="B48" i="12"/>
  <c r="B44" i="12"/>
  <c r="B40" i="12"/>
  <c r="B66" i="12"/>
  <c r="B63" i="12"/>
  <c r="B59" i="12"/>
  <c r="B55" i="12"/>
  <c r="B51" i="12"/>
  <c r="B47" i="12"/>
  <c r="B43" i="12"/>
  <c r="B39" i="12"/>
  <c r="B62" i="12"/>
  <c r="B58" i="12"/>
  <c r="B54" i="12"/>
  <c r="B50" i="12"/>
  <c r="B46" i="12"/>
  <c r="B42" i="12"/>
  <c r="B38" i="12"/>
  <c r="B65" i="12"/>
  <c r="B61" i="12"/>
  <c r="B57" i="12"/>
  <c r="B53" i="12"/>
  <c r="B49" i="12"/>
  <c r="B45" i="12"/>
  <c r="B41" i="12"/>
  <c r="B67" i="12"/>
  <c r="O70" i="12"/>
  <c r="B68" i="12"/>
  <c r="F43" i="12" s="1"/>
  <c r="B60" i="15"/>
  <c r="B52" i="15"/>
  <c r="B40" i="15"/>
  <c r="B63" i="15"/>
  <c r="B59" i="15"/>
  <c r="B55" i="15"/>
  <c r="B51" i="15"/>
  <c r="B47" i="15"/>
  <c r="B43" i="15"/>
  <c r="B39" i="15"/>
  <c r="B64" i="15"/>
  <c r="B56" i="15"/>
  <c r="B48" i="15"/>
  <c r="B44" i="15"/>
  <c r="B66" i="15"/>
  <c r="B62" i="15"/>
  <c r="B58" i="15"/>
  <c r="B54" i="15"/>
  <c r="B50" i="15"/>
  <c r="B46" i="15"/>
  <c r="B42" i="15"/>
  <c r="B38" i="15"/>
  <c r="B70" i="15" s="1" a="1"/>
  <c r="B70" i="15" s="1"/>
  <c r="B65" i="15"/>
  <c r="B61" i="15"/>
  <c r="B57" i="15"/>
  <c r="B53" i="15"/>
  <c r="B49" i="15"/>
  <c r="B45" i="15"/>
  <c r="B41" i="15"/>
  <c r="G13" i="9"/>
  <c r="F44" i="12" l="1"/>
  <c r="F45" i="12"/>
  <c r="B69" i="12" a="1"/>
  <c r="B69" i="12" s="1"/>
  <c r="E43" i="12" s="1"/>
  <c r="B69" i="15" a="1"/>
  <c r="B69" i="15" s="1"/>
  <c r="B68" i="15"/>
  <c r="E45" i="12" l="1"/>
  <c r="E44" i="12"/>
  <c r="B3" i="9" l="1"/>
  <c r="X3" i="9"/>
  <c r="Y3" i="9"/>
  <c r="Y4" i="9" s="1"/>
  <c r="Z3" i="9"/>
  <c r="AA3" i="9"/>
  <c r="AB3" i="9"/>
  <c r="AC3" i="9"/>
  <c r="AC4" i="9" s="1"/>
  <c r="AD3" i="9"/>
  <c r="AE3" i="9"/>
  <c r="AF3" i="9"/>
  <c r="L3" i="9"/>
  <c r="L4" i="9" s="1"/>
  <c r="M3" i="9"/>
  <c r="N3" i="9"/>
  <c r="O3" i="9"/>
  <c r="P3" i="9"/>
  <c r="P4" i="9" s="1"/>
  <c r="Q3" i="9"/>
  <c r="R3" i="9"/>
  <c r="S3" i="9"/>
  <c r="T3" i="9"/>
  <c r="T4" i="9" s="1"/>
  <c r="U3" i="9"/>
  <c r="V3" i="9"/>
  <c r="W3" i="9"/>
  <c r="E3" i="9"/>
  <c r="E4" i="9" s="1"/>
  <c r="F3" i="9"/>
  <c r="G3" i="9"/>
  <c r="H3" i="9"/>
  <c r="I3" i="9"/>
  <c r="I4" i="9" s="1"/>
  <c r="J3" i="9"/>
  <c r="K3" i="9"/>
  <c r="C3" i="9"/>
  <c r="D3" i="9"/>
  <c r="D4" i="9" s="1"/>
  <c r="Z2" i="9"/>
  <c r="AA2" i="9"/>
  <c r="AB2" i="9"/>
  <c r="AC2" i="9"/>
  <c r="AD2" i="9"/>
  <c r="AE2" i="9"/>
  <c r="AF2" i="9"/>
  <c r="D10" i="9" s="1"/>
  <c r="N2" i="9"/>
  <c r="O2" i="9"/>
  <c r="P2" i="9"/>
  <c r="Q2" i="9"/>
  <c r="R2" i="9"/>
  <c r="S2" i="9"/>
  <c r="T2" i="9"/>
  <c r="U2" i="9"/>
  <c r="V2" i="9"/>
  <c r="W2" i="9"/>
  <c r="X2" i="9"/>
  <c r="Y2" i="9"/>
  <c r="F2" i="9"/>
  <c r="G2" i="9"/>
  <c r="H2" i="9"/>
  <c r="I2" i="9"/>
  <c r="J2" i="9"/>
  <c r="K2" i="9"/>
  <c r="L2" i="9"/>
  <c r="M2" i="9"/>
  <c r="C2" i="9"/>
  <c r="D2" i="9"/>
  <c r="E2" i="9"/>
  <c r="B2" i="9"/>
  <c r="B71" i="6" a="1"/>
  <c r="B71" i="6" s="1"/>
  <c r="B70" i="6" a="1"/>
  <c r="B70" i="6" s="1"/>
  <c r="J4" i="9" l="1"/>
  <c r="F4" i="9"/>
  <c r="U4" i="9"/>
  <c r="Q4" i="9"/>
  <c r="M4" i="9"/>
  <c r="AD4" i="9"/>
  <c r="Z4" i="9"/>
  <c r="C4" i="9"/>
  <c r="H4" i="9"/>
  <c r="W4" i="9"/>
  <c r="S4" i="9"/>
  <c r="O4" i="9"/>
  <c r="AF4" i="9"/>
  <c r="AB4" i="9"/>
  <c r="X4" i="9"/>
  <c r="E13" i="9" a="1"/>
  <c r="K4" i="9"/>
  <c r="G4" i="9"/>
  <c r="V4" i="9"/>
  <c r="R4" i="9"/>
  <c r="N4" i="9"/>
  <c r="AE4" i="9"/>
  <c r="AA4" i="9"/>
  <c r="B4" i="9"/>
  <c r="D13" i="9" s="1" a="1"/>
  <c r="D13" i="9" s="1"/>
  <c r="C13" i="9" a="1"/>
  <c r="C13" i="9" s="1"/>
  <c r="B72" i="6"/>
  <c r="C37" i="15" a="1"/>
  <c r="C40" i="15" s="1"/>
  <c r="E13" i="9" l="1"/>
  <c r="F13" i="9" s="1"/>
  <c r="F17" i="9"/>
  <c r="F21" i="9"/>
  <c r="F25" i="9"/>
  <c r="F29" i="9"/>
  <c r="F33" i="9"/>
  <c r="F37" i="9"/>
  <c r="F41" i="9"/>
  <c r="F20" i="9"/>
  <c r="F36" i="9"/>
  <c r="F14" i="9"/>
  <c r="F18" i="9"/>
  <c r="F22" i="9"/>
  <c r="F26" i="9"/>
  <c r="F30" i="9"/>
  <c r="F34" i="9"/>
  <c r="F38" i="9"/>
  <c r="F42" i="9"/>
  <c r="F16" i="9"/>
  <c r="F28" i="9"/>
  <c r="F40" i="9"/>
  <c r="F15" i="9"/>
  <c r="F19" i="9"/>
  <c r="F23" i="9"/>
  <c r="F27" i="9"/>
  <c r="F31" i="9"/>
  <c r="F35" i="9"/>
  <c r="F39" i="9"/>
  <c r="F24" i="9"/>
  <c r="F32" i="9"/>
  <c r="C63" i="15"/>
  <c r="C59" i="15"/>
  <c r="C55" i="15"/>
  <c r="C51" i="15"/>
  <c r="C47" i="15"/>
  <c r="C43" i="15"/>
  <c r="C39" i="15"/>
  <c r="C66" i="15"/>
  <c r="C62" i="15"/>
  <c r="C58" i="15"/>
  <c r="C54" i="15"/>
  <c r="C50" i="15"/>
  <c r="C46" i="15"/>
  <c r="C42" i="15"/>
  <c r="C38" i="15"/>
  <c r="C65" i="15"/>
  <c r="C61" i="15"/>
  <c r="C57" i="15"/>
  <c r="C53" i="15"/>
  <c r="C49" i="15"/>
  <c r="C45" i="15"/>
  <c r="C41" i="15"/>
  <c r="C37" i="15"/>
  <c r="C64" i="15"/>
  <c r="C60" i="15"/>
  <c r="C56" i="15"/>
  <c r="C52" i="15"/>
  <c r="C48" i="15"/>
  <c r="C44" i="15"/>
  <c r="C69" i="15" l="1" a="1"/>
  <c r="C69" i="15" s="1"/>
  <c r="C68" i="15"/>
  <c r="D127" i="15" l="1"/>
  <c r="C177" i="15" s="1"/>
  <c r="C79" i="15"/>
  <c r="B177" i="15"/>
  <c r="AF5" i="3"/>
  <c r="AG82" i="3" a="1"/>
  <c r="AF70" i="5" a="1"/>
  <c r="B103" i="5" a="1"/>
  <c r="AG83" i="3" a="1"/>
  <c r="AG80" i="3" a="1"/>
  <c r="AG5" i="3" a="1"/>
  <c r="AG87" i="3" a="1"/>
  <c r="AG81" i="3" a="1"/>
  <c r="AF37" i="5" a="1"/>
  <c r="AF103" i="5" a="1"/>
  <c r="B79" i="15" l="1"/>
  <c r="AF103" i="5"/>
  <c r="AF70" i="5"/>
  <c r="AF37" i="5"/>
  <c r="AG87" i="3"/>
  <c r="AG83" i="3"/>
  <c r="AG82" i="3"/>
  <c r="AG81" i="3"/>
  <c r="AG80" i="3"/>
  <c r="AG5" i="3"/>
  <c r="B103" i="5"/>
  <c r="C103" i="5"/>
  <c r="G103" i="5"/>
  <c r="K103" i="5"/>
  <c r="O103" i="5"/>
  <c r="S103" i="5"/>
  <c r="W103" i="5"/>
  <c r="AA103" i="5"/>
  <c r="AE103" i="5"/>
  <c r="E104" i="5"/>
  <c r="I104" i="5"/>
  <c r="M104" i="5"/>
  <c r="Q104" i="5"/>
  <c r="U104" i="5"/>
  <c r="Y104" i="5"/>
  <c r="AC104" i="5"/>
  <c r="C105" i="5"/>
  <c r="G105" i="5"/>
  <c r="K105" i="5"/>
  <c r="O105" i="5"/>
  <c r="S105" i="5"/>
  <c r="W105" i="5"/>
  <c r="AA105" i="5"/>
  <c r="AE105" i="5"/>
  <c r="E106" i="5"/>
  <c r="I106" i="5"/>
  <c r="M106" i="5"/>
  <c r="Q106" i="5"/>
  <c r="U106" i="5"/>
  <c r="Y106" i="5"/>
  <c r="AC106" i="5"/>
  <c r="C107" i="5"/>
  <c r="G107" i="5"/>
  <c r="K107" i="5"/>
  <c r="O107" i="5"/>
  <c r="S107" i="5"/>
  <c r="W107" i="5"/>
  <c r="AA107" i="5"/>
  <c r="AE107" i="5"/>
  <c r="E108" i="5"/>
  <c r="I108" i="5"/>
  <c r="M108" i="5"/>
  <c r="Q108" i="5"/>
  <c r="U108" i="5"/>
  <c r="Y108" i="5"/>
  <c r="AC108" i="5"/>
  <c r="C109" i="5"/>
  <c r="G109" i="5"/>
  <c r="K109" i="5"/>
  <c r="O109" i="5"/>
  <c r="S109" i="5"/>
  <c r="W109" i="5"/>
  <c r="AA109" i="5"/>
  <c r="AE109" i="5"/>
  <c r="E110" i="5"/>
  <c r="I110" i="5"/>
  <c r="M110" i="5"/>
  <c r="Q110" i="5"/>
  <c r="U110" i="5"/>
  <c r="Y110" i="5"/>
  <c r="AC110" i="5"/>
  <c r="C111" i="5"/>
  <c r="G111" i="5"/>
  <c r="K111" i="5"/>
  <c r="O111" i="5"/>
  <c r="S111" i="5"/>
  <c r="W111" i="5"/>
  <c r="AA111" i="5"/>
  <c r="AE111" i="5"/>
  <c r="D103" i="5"/>
  <c r="H103" i="5"/>
  <c r="L103" i="5"/>
  <c r="P103" i="5"/>
  <c r="T103" i="5"/>
  <c r="X103" i="5"/>
  <c r="AB103" i="5"/>
  <c r="B104" i="5"/>
  <c r="F104" i="5"/>
  <c r="J104" i="5"/>
  <c r="N104" i="5"/>
  <c r="R104" i="5"/>
  <c r="V104" i="5"/>
  <c r="Z104" i="5"/>
  <c r="AD104" i="5"/>
  <c r="D105" i="5"/>
  <c r="H105" i="5"/>
  <c r="L105" i="5"/>
  <c r="P105" i="5"/>
  <c r="T105" i="5"/>
  <c r="X105" i="5"/>
  <c r="AB105" i="5"/>
  <c r="B106" i="5"/>
  <c r="F106" i="5"/>
  <c r="J106" i="5"/>
  <c r="N106" i="5"/>
  <c r="R106" i="5"/>
  <c r="V106" i="5"/>
  <c r="Z106" i="5"/>
  <c r="AD106" i="5"/>
  <c r="D107" i="5"/>
  <c r="H107" i="5"/>
  <c r="L107" i="5"/>
  <c r="P107" i="5"/>
  <c r="T107" i="5"/>
  <c r="X107" i="5"/>
  <c r="AB107" i="5"/>
  <c r="B108" i="5"/>
  <c r="F108" i="5"/>
  <c r="J108" i="5"/>
  <c r="N108" i="5"/>
  <c r="R108" i="5"/>
  <c r="V108" i="5"/>
  <c r="Z108" i="5"/>
  <c r="AD108" i="5"/>
  <c r="D109" i="5"/>
  <c r="H109" i="5"/>
  <c r="L109" i="5"/>
  <c r="P109" i="5"/>
  <c r="T109" i="5"/>
  <c r="X109" i="5"/>
  <c r="AB109" i="5"/>
  <c r="B110" i="5"/>
  <c r="F110" i="5"/>
  <c r="J110" i="5"/>
  <c r="N110" i="5"/>
  <c r="R110" i="5"/>
  <c r="V110" i="5"/>
  <c r="Z110" i="5"/>
  <c r="AD110" i="5"/>
  <c r="D111" i="5"/>
  <c r="H111" i="5"/>
  <c r="L111" i="5"/>
  <c r="P111" i="5"/>
  <c r="T111" i="5"/>
  <c r="X111" i="5"/>
  <c r="AB111" i="5"/>
  <c r="B112" i="5"/>
  <c r="F112" i="5"/>
  <c r="J112" i="5"/>
  <c r="N112" i="5"/>
  <c r="R112" i="5"/>
  <c r="V112" i="5"/>
  <c r="Z112" i="5"/>
  <c r="AD112" i="5"/>
  <c r="D113" i="5"/>
  <c r="H113" i="5"/>
  <c r="L113" i="5"/>
  <c r="P113" i="5"/>
  <c r="T113" i="5"/>
  <c r="X113" i="5"/>
  <c r="AB113" i="5"/>
  <c r="B114" i="5"/>
  <c r="F114" i="5"/>
  <c r="J114" i="5"/>
  <c r="E103" i="5"/>
  <c r="M103" i="5"/>
  <c r="U103" i="5"/>
  <c r="AC103" i="5"/>
  <c r="G104" i="5"/>
  <c r="O104" i="5"/>
  <c r="W104" i="5"/>
  <c r="AE104" i="5"/>
  <c r="I105" i="5"/>
  <c r="Q105" i="5"/>
  <c r="Y105" i="5"/>
  <c r="C106" i="5"/>
  <c r="K106" i="5"/>
  <c r="S106" i="5"/>
  <c r="AA106" i="5"/>
  <c r="E107" i="5"/>
  <c r="M107" i="5"/>
  <c r="U107" i="5"/>
  <c r="AC107" i="5"/>
  <c r="G108" i="5"/>
  <c r="O108" i="5"/>
  <c r="W108" i="5"/>
  <c r="AE108" i="5"/>
  <c r="I109" i="5"/>
  <c r="Q109" i="5"/>
  <c r="Y109" i="5"/>
  <c r="C110" i="5"/>
  <c r="K110" i="5"/>
  <c r="S110" i="5"/>
  <c r="AA110" i="5"/>
  <c r="E111" i="5"/>
  <c r="M111" i="5"/>
  <c r="U111" i="5"/>
  <c r="AC111" i="5"/>
  <c r="E112" i="5"/>
  <c r="K112" i="5"/>
  <c r="P112" i="5"/>
  <c r="U112" i="5"/>
  <c r="AA112" i="5"/>
  <c r="B113" i="5"/>
  <c r="G113" i="5"/>
  <c r="M113" i="5"/>
  <c r="R113" i="5"/>
  <c r="W113" i="5"/>
  <c r="AC113" i="5"/>
  <c r="D114" i="5"/>
  <c r="I114" i="5"/>
  <c r="N114" i="5"/>
  <c r="R114" i="5"/>
  <c r="V114" i="5"/>
  <c r="Z114" i="5"/>
  <c r="AD114" i="5"/>
  <c r="D115" i="5"/>
  <c r="H115" i="5"/>
  <c r="L115" i="5"/>
  <c r="P115" i="5"/>
  <c r="T115" i="5"/>
  <c r="X115" i="5"/>
  <c r="AB115" i="5"/>
  <c r="B116" i="5"/>
  <c r="F116" i="5"/>
  <c r="J116" i="5"/>
  <c r="N116" i="5"/>
  <c r="R116" i="5"/>
  <c r="V116" i="5"/>
  <c r="Z116" i="5"/>
  <c r="AD116" i="5"/>
  <c r="D117" i="5"/>
  <c r="H117" i="5"/>
  <c r="L117" i="5"/>
  <c r="P117" i="5"/>
  <c r="T117" i="5"/>
  <c r="X117" i="5"/>
  <c r="AB117" i="5"/>
  <c r="B118" i="5"/>
  <c r="F118" i="5"/>
  <c r="J118" i="5"/>
  <c r="N118" i="5"/>
  <c r="R118" i="5"/>
  <c r="F103" i="5"/>
  <c r="N103" i="5"/>
  <c r="V103" i="5"/>
  <c r="AD103" i="5"/>
  <c r="H104" i="5"/>
  <c r="P104" i="5"/>
  <c r="X104" i="5"/>
  <c r="B105" i="5"/>
  <c r="J105" i="5"/>
  <c r="R105" i="5"/>
  <c r="Z105" i="5"/>
  <c r="D106" i="5"/>
  <c r="L106" i="5"/>
  <c r="T106" i="5"/>
  <c r="AB106" i="5"/>
  <c r="F107" i="5"/>
  <c r="N107" i="5"/>
  <c r="V107" i="5"/>
  <c r="AD107" i="5"/>
  <c r="H108" i="5"/>
  <c r="P108" i="5"/>
  <c r="X108" i="5"/>
  <c r="B109" i="5"/>
  <c r="J109" i="5"/>
  <c r="R109" i="5"/>
  <c r="Z109" i="5"/>
  <c r="D110" i="5"/>
  <c r="L110" i="5"/>
  <c r="T110" i="5"/>
  <c r="AB110" i="5"/>
  <c r="F111" i="5"/>
  <c r="N111" i="5"/>
  <c r="V111" i="5"/>
  <c r="AD111" i="5"/>
  <c r="G112" i="5"/>
  <c r="L112" i="5"/>
  <c r="Q112" i="5"/>
  <c r="W112" i="5"/>
  <c r="AB112" i="5"/>
  <c r="C113" i="5"/>
  <c r="I113" i="5"/>
  <c r="N113" i="5"/>
  <c r="S113" i="5"/>
  <c r="Y113" i="5"/>
  <c r="AD113" i="5"/>
  <c r="E114" i="5"/>
  <c r="K114" i="5"/>
  <c r="O114" i="5"/>
  <c r="S114" i="5"/>
  <c r="W114" i="5"/>
  <c r="AA114" i="5"/>
  <c r="AE114" i="5"/>
  <c r="E115" i="5"/>
  <c r="I115" i="5"/>
  <c r="M115" i="5"/>
  <c r="Q115" i="5"/>
  <c r="U115" i="5"/>
  <c r="Y115" i="5"/>
  <c r="AC115" i="5"/>
  <c r="C116" i="5"/>
  <c r="G116" i="5"/>
  <c r="K116" i="5"/>
  <c r="O116" i="5"/>
  <c r="S116" i="5"/>
  <c r="W116" i="5"/>
  <c r="AA116" i="5"/>
  <c r="AE116" i="5"/>
  <c r="E117" i="5"/>
  <c r="I117" i="5"/>
  <c r="M117" i="5"/>
  <c r="Q117" i="5"/>
  <c r="U117" i="5"/>
  <c r="Y117" i="5"/>
  <c r="AC117" i="5"/>
  <c r="C118" i="5"/>
  <c r="G118" i="5"/>
  <c r="K118" i="5"/>
  <c r="O118" i="5"/>
  <c r="S118" i="5"/>
  <c r="W118" i="5"/>
  <c r="AA118" i="5"/>
  <c r="AE118" i="5"/>
  <c r="E119" i="5"/>
  <c r="I119" i="5"/>
  <c r="M119" i="5"/>
  <c r="I103" i="5"/>
  <c r="Q103" i="5"/>
  <c r="Y103" i="5"/>
  <c r="C104" i="5"/>
  <c r="K104" i="5"/>
  <c r="S104" i="5"/>
  <c r="AA104" i="5"/>
  <c r="E105" i="5"/>
  <c r="M105" i="5"/>
  <c r="U105" i="5"/>
  <c r="AC105" i="5"/>
  <c r="G106" i="5"/>
  <c r="O106" i="5"/>
  <c r="W106" i="5"/>
  <c r="AE106" i="5"/>
  <c r="I107" i="5"/>
  <c r="Q107" i="5"/>
  <c r="Y107" i="5"/>
  <c r="C108" i="5"/>
  <c r="K108" i="5"/>
  <c r="S108" i="5"/>
  <c r="AA108" i="5"/>
  <c r="E109" i="5"/>
  <c r="M109" i="5"/>
  <c r="U109" i="5"/>
  <c r="AC109" i="5"/>
  <c r="G110" i="5"/>
  <c r="O110" i="5"/>
  <c r="W110" i="5"/>
  <c r="AE110" i="5"/>
  <c r="I111" i="5"/>
  <c r="Q111" i="5"/>
  <c r="Y111" i="5"/>
  <c r="C112" i="5"/>
  <c r="H112" i="5"/>
  <c r="M112" i="5"/>
  <c r="S112" i="5"/>
  <c r="X112" i="5"/>
  <c r="AC112" i="5"/>
  <c r="E113" i="5"/>
  <c r="J113" i="5"/>
  <c r="O113" i="5"/>
  <c r="U113" i="5"/>
  <c r="Z113" i="5"/>
  <c r="AE113" i="5"/>
  <c r="G114" i="5"/>
  <c r="L114" i="5"/>
  <c r="P114" i="5"/>
  <c r="T114" i="5"/>
  <c r="X114" i="5"/>
  <c r="AB114" i="5"/>
  <c r="B115" i="5"/>
  <c r="F115" i="5"/>
  <c r="J115" i="5"/>
  <c r="N115" i="5"/>
  <c r="R115" i="5"/>
  <c r="V115" i="5"/>
  <c r="Z115" i="5"/>
  <c r="AD115" i="5"/>
  <c r="D116" i="5"/>
  <c r="H116" i="5"/>
  <c r="L116" i="5"/>
  <c r="P116" i="5"/>
  <c r="T116" i="5"/>
  <c r="X116" i="5"/>
  <c r="AB116" i="5"/>
  <c r="B117" i="5"/>
  <c r="F117" i="5"/>
  <c r="J117" i="5"/>
  <c r="N117" i="5"/>
  <c r="R117" i="5"/>
  <c r="J103" i="5"/>
  <c r="L104" i="5"/>
  <c r="N105" i="5"/>
  <c r="P106" i="5"/>
  <c r="R107" i="5"/>
  <c r="T108" i="5"/>
  <c r="V109" i="5"/>
  <c r="X110" i="5"/>
  <c r="Z111" i="5"/>
  <c r="T112" i="5"/>
  <c r="K113" i="5"/>
  <c r="C114" i="5"/>
  <c r="U114" i="5"/>
  <c r="G115" i="5"/>
  <c r="W115" i="5"/>
  <c r="I116" i="5"/>
  <c r="Y116" i="5"/>
  <c r="K117" i="5"/>
  <c r="W117" i="5"/>
  <c r="AE117" i="5"/>
  <c r="I118" i="5"/>
  <c r="Q118" i="5"/>
  <c r="X118" i="5"/>
  <c r="AC118" i="5"/>
  <c r="D119" i="5"/>
  <c r="J119" i="5"/>
  <c r="O119" i="5"/>
  <c r="S119" i="5"/>
  <c r="W119" i="5"/>
  <c r="AA119" i="5"/>
  <c r="AE119" i="5"/>
  <c r="E120" i="5"/>
  <c r="I120" i="5"/>
  <c r="M120" i="5"/>
  <c r="Q120" i="5"/>
  <c r="U120" i="5"/>
  <c r="Y120" i="5"/>
  <c r="AC120" i="5"/>
  <c r="C121" i="5"/>
  <c r="G121" i="5"/>
  <c r="K121" i="5"/>
  <c r="O121" i="5"/>
  <c r="S121" i="5"/>
  <c r="W121" i="5"/>
  <c r="AA121" i="5"/>
  <c r="AE121" i="5"/>
  <c r="E122" i="5"/>
  <c r="I122" i="5"/>
  <c r="M122" i="5"/>
  <c r="Q122" i="5"/>
  <c r="U122" i="5"/>
  <c r="Y122" i="5"/>
  <c r="AC122" i="5"/>
  <c r="C123" i="5"/>
  <c r="G123" i="5"/>
  <c r="K123" i="5"/>
  <c r="O123" i="5"/>
  <c r="S123" i="5"/>
  <c r="W123" i="5"/>
  <c r="AA123" i="5"/>
  <c r="AE123" i="5"/>
  <c r="E124" i="5"/>
  <c r="I124" i="5"/>
  <c r="M124" i="5"/>
  <c r="Q124" i="5"/>
  <c r="U124" i="5"/>
  <c r="Y124" i="5"/>
  <c r="AC124" i="5"/>
  <c r="C125" i="5"/>
  <c r="G125" i="5"/>
  <c r="K125" i="5"/>
  <c r="O125" i="5"/>
  <c r="S125" i="5"/>
  <c r="W125" i="5"/>
  <c r="AA125" i="5"/>
  <c r="AE125" i="5"/>
  <c r="E126" i="5"/>
  <c r="I126" i="5"/>
  <c r="M126" i="5"/>
  <c r="Q126" i="5"/>
  <c r="U126" i="5"/>
  <c r="Y126" i="5"/>
  <c r="AC126" i="5"/>
  <c r="C127" i="5"/>
  <c r="G127" i="5"/>
  <c r="R103" i="5"/>
  <c r="T104" i="5"/>
  <c r="V105" i="5"/>
  <c r="X106" i="5"/>
  <c r="Z107" i="5"/>
  <c r="AB108" i="5"/>
  <c r="AD109" i="5"/>
  <c r="B111" i="5"/>
  <c r="D112" i="5"/>
  <c r="Y112" i="5"/>
  <c r="Q113" i="5"/>
  <c r="H114" i="5"/>
  <c r="Y114" i="5"/>
  <c r="K115" i="5"/>
  <c r="AA115" i="5"/>
  <c r="M116" i="5"/>
  <c r="AC116" i="5"/>
  <c r="O117" i="5"/>
  <c r="Z117" i="5"/>
  <c r="D118" i="5"/>
  <c r="L118" i="5"/>
  <c r="T118" i="5"/>
  <c r="Y118" i="5"/>
  <c r="Z103" i="5"/>
  <c r="AB104" i="5"/>
  <c r="AD105" i="5"/>
  <c r="B107" i="5"/>
  <c r="D108" i="5"/>
  <c r="F109" i="5"/>
  <c r="H110" i="5"/>
  <c r="J111" i="5"/>
  <c r="I112" i="5"/>
  <c r="AE112" i="5"/>
  <c r="V113" i="5"/>
  <c r="M114" i="5"/>
  <c r="AC114" i="5"/>
  <c r="O115" i="5"/>
  <c r="AE115" i="5"/>
  <c r="Q116" i="5"/>
  <c r="C117" i="5"/>
  <c r="S117" i="5"/>
  <c r="AA117" i="5"/>
  <c r="E118" i="5"/>
  <c r="M118" i="5"/>
  <c r="U118" i="5"/>
  <c r="Z118" i="5"/>
  <c r="B119" i="5"/>
  <c r="G119" i="5"/>
  <c r="L119" i="5"/>
  <c r="Q119" i="5"/>
  <c r="U119" i="5"/>
  <c r="Y119" i="5"/>
  <c r="AC119" i="5"/>
  <c r="C120" i="5"/>
  <c r="G120" i="5"/>
  <c r="K120" i="5"/>
  <c r="O120" i="5"/>
  <c r="S120" i="5"/>
  <c r="W120" i="5"/>
  <c r="AA120" i="5"/>
  <c r="AE120" i="5"/>
  <c r="E121" i="5"/>
  <c r="I121" i="5"/>
  <c r="M121" i="5"/>
  <c r="Q121" i="5"/>
  <c r="U121" i="5"/>
  <c r="Y121" i="5"/>
  <c r="AC121" i="5"/>
  <c r="C122" i="5"/>
  <c r="G122" i="5"/>
  <c r="K122" i="5"/>
  <c r="O122" i="5"/>
  <c r="S122" i="5"/>
  <c r="W122" i="5"/>
  <c r="AA122" i="5"/>
  <c r="AE122" i="5"/>
  <c r="E123" i="5"/>
  <c r="I123" i="5"/>
  <c r="M123" i="5"/>
  <c r="Q123" i="5"/>
  <c r="U123" i="5"/>
  <c r="Y123" i="5"/>
  <c r="AC123" i="5"/>
  <c r="C124" i="5"/>
  <c r="G124" i="5"/>
  <c r="K124" i="5"/>
  <c r="D104" i="5"/>
  <c r="L108" i="5"/>
  <c r="O112" i="5"/>
  <c r="C115" i="5"/>
  <c r="G117" i="5"/>
  <c r="P118" i="5"/>
  <c r="C119" i="5"/>
  <c r="N119" i="5"/>
  <c r="V119" i="5"/>
  <c r="AD119" i="5"/>
  <c r="H120" i="5"/>
  <c r="P120" i="5"/>
  <c r="X120" i="5"/>
  <c r="B121" i="5"/>
  <c r="J121" i="5"/>
  <c r="R121" i="5"/>
  <c r="Z121" i="5"/>
  <c r="D122" i="5"/>
  <c r="L122" i="5"/>
  <c r="T122" i="5"/>
  <c r="AB122" i="5"/>
  <c r="F123" i="5"/>
  <c r="N123" i="5"/>
  <c r="V123" i="5"/>
  <c r="AD123" i="5"/>
  <c r="H124" i="5"/>
  <c r="O124" i="5"/>
  <c r="T124" i="5"/>
  <c r="Z124" i="5"/>
  <c r="AE124" i="5"/>
  <c r="F125" i="5"/>
  <c r="L125" i="5"/>
  <c r="Q125" i="5"/>
  <c r="V125" i="5"/>
  <c r="AB125" i="5"/>
  <c r="C126" i="5"/>
  <c r="H126" i="5"/>
  <c r="N126" i="5"/>
  <c r="S126" i="5"/>
  <c r="X126" i="5"/>
  <c r="AD126" i="5"/>
  <c r="E127" i="5"/>
  <c r="J127" i="5"/>
  <c r="N127" i="5"/>
  <c r="R127" i="5"/>
  <c r="V127" i="5"/>
  <c r="Z127" i="5"/>
  <c r="AD127" i="5"/>
  <c r="D128" i="5"/>
  <c r="H128" i="5"/>
  <c r="L128" i="5"/>
  <c r="P128" i="5"/>
  <c r="T128" i="5"/>
  <c r="X128" i="5"/>
  <c r="AB128" i="5"/>
  <c r="B129" i="5"/>
  <c r="F129" i="5"/>
  <c r="J129" i="5"/>
  <c r="N129" i="5"/>
  <c r="R129" i="5"/>
  <c r="V129" i="5"/>
  <c r="Z129" i="5"/>
  <c r="AD129" i="5"/>
  <c r="D130" i="5"/>
  <c r="H130" i="5"/>
  <c r="L130" i="5"/>
  <c r="P130" i="5"/>
  <c r="T130" i="5"/>
  <c r="X130" i="5"/>
  <c r="AB130" i="5"/>
  <c r="B131" i="5"/>
  <c r="F131" i="5"/>
  <c r="J131" i="5"/>
  <c r="N131" i="5"/>
  <c r="R131" i="5"/>
  <c r="V131" i="5"/>
  <c r="Z131" i="5"/>
  <c r="AD131" i="5"/>
  <c r="D132" i="5"/>
  <c r="H132" i="5"/>
  <c r="L132" i="5"/>
  <c r="P132" i="5"/>
  <c r="T132" i="5"/>
  <c r="X132" i="5"/>
  <c r="AB132" i="5"/>
  <c r="F105" i="5"/>
  <c r="N109" i="5"/>
  <c r="F113" i="5"/>
  <c r="S115" i="5"/>
  <c r="V117" i="5"/>
  <c r="V118" i="5"/>
  <c r="F119" i="5"/>
  <c r="P119" i="5"/>
  <c r="X119" i="5"/>
  <c r="B120" i="5"/>
  <c r="J120" i="5"/>
  <c r="R120" i="5"/>
  <c r="Z120" i="5"/>
  <c r="D121" i="5"/>
  <c r="L121" i="5"/>
  <c r="T121" i="5"/>
  <c r="AB121" i="5"/>
  <c r="F122" i="5"/>
  <c r="N122" i="5"/>
  <c r="V122" i="5"/>
  <c r="AD122" i="5"/>
  <c r="H123" i="5"/>
  <c r="P123" i="5"/>
  <c r="X123" i="5"/>
  <c r="B124" i="5"/>
  <c r="J124" i="5"/>
  <c r="P124" i="5"/>
  <c r="V124" i="5"/>
  <c r="AA124" i="5"/>
  <c r="B125" i="5"/>
  <c r="H125" i="5"/>
  <c r="M125" i="5"/>
  <c r="R125" i="5"/>
  <c r="X125" i="5"/>
  <c r="AC125" i="5"/>
  <c r="D126" i="5"/>
  <c r="J126" i="5"/>
  <c r="O126" i="5"/>
  <c r="T126" i="5"/>
  <c r="Z126" i="5"/>
  <c r="AE126" i="5"/>
  <c r="F127" i="5"/>
  <c r="K127" i="5"/>
  <c r="O127" i="5"/>
  <c r="S127" i="5"/>
  <c r="W127" i="5"/>
  <c r="AA127" i="5"/>
  <c r="AE127" i="5"/>
  <c r="E128" i="5"/>
  <c r="I128" i="5"/>
  <c r="M128" i="5"/>
  <c r="Q128" i="5"/>
  <c r="U128" i="5"/>
  <c r="Y128" i="5"/>
  <c r="AC128" i="5"/>
  <c r="C129" i="5"/>
  <c r="G129" i="5"/>
  <c r="K129" i="5"/>
  <c r="O129" i="5"/>
  <c r="S129" i="5"/>
  <c r="W129" i="5"/>
  <c r="AA129" i="5"/>
  <c r="AE129" i="5"/>
  <c r="E130" i="5"/>
  <c r="I130" i="5"/>
  <c r="M130" i="5"/>
  <c r="Q130" i="5"/>
  <c r="U130" i="5"/>
  <c r="Y130" i="5"/>
  <c r="AC130" i="5"/>
  <c r="C131" i="5"/>
  <c r="G131" i="5"/>
  <c r="K131" i="5"/>
  <c r="O131" i="5"/>
  <c r="S131" i="5"/>
  <c r="W131" i="5"/>
  <c r="AA131" i="5"/>
  <c r="AE131" i="5"/>
  <c r="E132" i="5"/>
  <c r="I132" i="5"/>
  <c r="M132" i="5"/>
  <c r="Q132" i="5"/>
  <c r="U132" i="5"/>
  <c r="Y132" i="5"/>
  <c r="AC132" i="5"/>
  <c r="H106" i="5"/>
  <c r="P110" i="5"/>
  <c r="AA113" i="5"/>
  <c r="E116" i="5"/>
  <c r="AD117" i="5"/>
  <c r="AB118" i="5"/>
  <c r="H119" i="5"/>
  <c r="R119" i="5"/>
  <c r="Z119" i="5"/>
  <c r="D120" i="5"/>
  <c r="L120" i="5"/>
  <c r="T120" i="5"/>
  <c r="AB120" i="5"/>
  <c r="F121" i="5"/>
  <c r="N121" i="5"/>
  <c r="V121" i="5"/>
  <c r="AD121" i="5"/>
  <c r="H122" i="5"/>
  <c r="P122" i="5"/>
  <c r="X122" i="5"/>
  <c r="B123" i="5"/>
  <c r="J123" i="5"/>
  <c r="R123" i="5"/>
  <c r="Z123" i="5"/>
  <c r="D124" i="5"/>
  <c r="L124" i="5"/>
  <c r="R124" i="5"/>
  <c r="W124" i="5"/>
  <c r="AB124" i="5"/>
  <c r="D125" i="5"/>
  <c r="I125" i="5"/>
  <c r="N125" i="5"/>
  <c r="T125" i="5"/>
  <c r="Y125" i="5"/>
  <c r="AD125" i="5"/>
  <c r="F126" i="5"/>
  <c r="K126" i="5"/>
  <c r="P126" i="5"/>
  <c r="V126" i="5"/>
  <c r="AA126" i="5"/>
  <c r="B127" i="5"/>
  <c r="H127" i="5"/>
  <c r="L127" i="5"/>
  <c r="P127" i="5"/>
  <c r="T127" i="5"/>
  <c r="X127" i="5"/>
  <c r="AB127" i="5"/>
  <c r="B128" i="5"/>
  <c r="F128" i="5"/>
  <c r="J128" i="5"/>
  <c r="N128" i="5"/>
  <c r="R128" i="5"/>
  <c r="V128" i="5"/>
  <c r="Z128" i="5"/>
  <c r="AD128" i="5"/>
  <c r="D129" i="5"/>
  <c r="H129" i="5"/>
  <c r="L129" i="5"/>
  <c r="P129" i="5"/>
  <c r="T129" i="5"/>
  <c r="X129" i="5"/>
  <c r="AB129" i="5"/>
  <c r="B130" i="5"/>
  <c r="F130" i="5"/>
  <c r="J130" i="5"/>
  <c r="N130" i="5"/>
  <c r="R130" i="5"/>
  <c r="V130" i="5"/>
  <c r="Z130" i="5"/>
  <c r="AD130" i="5"/>
  <c r="D131" i="5"/>
  <c r="H131" i="5"/>
  <c r="L131" i="5"/>
  <c r="P131" i="5"/>
  <c r="T131" i="5"/>
  <c r="X131" i="5"/>
  <c r="AB131" i="5"/>
  <c r="B132" i="5"/>
  <c r="F132" i="5"/>
  <c r="J132" i="5"/>
  <c r="N132" i="5"/>
  <c r="R132" i="5"/>
  <c r="V132" i="5"/>
  <c r="Z132" i="5"/>
  <c r="AD132" i="5"/>
  <c r="J107" i="5"/>
  <c r="H118" i="5"/>
  <c r="AB119" i="5"/>
  <c r="AD120" i="5"/>
  <c r="B122" i="5"/>
  <c r="D123" i="5"/>
  <c r="F124" i="5"/>
  <c r="AD124" i="5"/>
  <c r="U125" i="5"/>
  <c r="L126" i="5"/>
  <c r="D127" i="5"/>
  <c r="U127" i="5"/>
  <c r="G128" i="5"/>
  <c r="W128" i="5"/>
  <c r="I129" i="5"/>
  <c r="Y129" i="5"/>
  <c r="K130" i="5"/>
  <c r="AA130" i="5"/>
  <c r="M131" i="5"/>
  <c r="AC131" i="5"/>
  <c r="O132" i="5"/>
  <c r="AE132" i="5"/>
  <c r="T119" i="5"/>
  <c r="AB126" i="5"/>
  <c r="C128" i="5"/>
  <c r="E129" i="5"/>
  <c r="G130" i="5"/>
  <c r="I131" i="5"/>
  <c r="K132" i="5"/>
  <c r="R111" i="5"/>
  <c r="AD118" i="5"/>
  <c r="F120" i="5"/>
  <c r="H121" i="5"/>
  <c r="J122" i="5"/>
  <c r="L123" i="5"/>
  <c r="N124" i="5"/>
  <c r="E125" i="5"/>
  <c r="Z125" i="5"/>
  <c r="R126" i="5"/>
  <c r="I127" i="5"/>
  <c r="Y127" i="5"/>
  <c r="K128" i="5"/>
  <c r="AA128" i="5"/>
  <c r="M129" i="5"/>
  <c r="AC129" i="5"/>
  <c r="O130" i="5"/>
  <c r="AE130" i="5"/>
  <c r="Q131" i="5"/>
  <c r="C132" i="5"/>
  <c r="S132" i="5"/>
  <c r="V120" i="5"/>
  <c r="Q114" i="5"/>
  <c r="K119" i="5"/>
  <c r="N120" i="5"/>
  <c r="P121" i="5"/>
  <c r="R122" i="5"/>
  <c r="T123" i="5"/>
  <c r="S124" i="5"/>
  <c r="J125" i="5"/>
  <c r="B126" i="5"/>
  <c r="W126" i="5"/>
  <c r="M127" i="5"/>
  <c r="AC127" i="5"/>
  <c r="O128" i="5"/>
  <c r="AE128" i="5"/>
  <c r="Q129" i="5"/>
  <c r="C130" i="5"/>
  <c r="S130" i="5"/>
  <c r="E131" i="5"/>
  <c r="U131" i="5"/>
  <c r="G132" i="5"/>
  <c r="W132" i="5"/>
  <c r="U116" i="5"/>
  <c r="X121" i="5"/>
  <c r="Z122" i="5"/>
  <c r="AB123" i="5"/>
  <c r="X124" i="5"/>
  <c r="P125" i="5"/>
  <c r="G126" i="5"/>
  <c r="Q127" i="5"/>
  <c r="S128" i="5"/>
  <c r="U129" i="5"/>
  <c r="W130" i="5"/>
  <c r="Y131" i="5"/>
  <c r="AA132" i="5"/>
  <c r="C68" i="6" l="1"/>
  <c r="R5" i="3" l="1"/>
  <c r="S5" i="3"/>
  <c r="T5" i="3"/>
  <c r="U5" i="3"/>
  <c r="V5" i="3"/>
  <c r="W5" i="3"/>
  <c r="X5" i="3"/>
  <c r="Y5" i="3"/>
  <c r="Z5" i="3"/>
  <c r="AA5" i="3"/>
  <c r="AB5" i="3"/>
  <c r="AC5" i="3"/>
  <c r="AD5" i="3"/>
  <c r="AE5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R9" i="3"/>
  <c r="S9" i="3"/>
  <c r="T9" i="3"/>
  <c r="U9" i="3"/>
  <c r="V9" i="3"/>
  <c r="W9" i="3"/>
  <c r="X9" i="3"/>
  <c r="Y9" i="3"/>
  <c r="Z9" i="3"/>
  <c r="AA9" i="3"/>
  <c r="AC9" i="3"/>
  <c r="AD9" i="3"/>
  <c r="AE9" i="3"/>
  <c r="AF9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" i="3"/>
  <c r="Q83" i="3" l="1"/>
  <c r="M83" i="3"/>
  <c r="I83" i="3"/>
  <c r="E83" i="3"/>
  <c r="P81" i="3"/>
  <c r="L81" i="3"/>
  <c r="H81" i="3"/>
  <c r="D81" i="3"/>
  <c r="O82" i="3"/>
  <c r="K82" i="3"/>
  <c r="G82" i="3"/>
  <c r="C82" i="3"/>
  <c r="B83" i="3"/>
  <c r="B82" i="3"/>
  <c r="Q82" i="3"/>
  <c r="M82" i="3"/>
  <c r="I82" i="3"/>
  <c r="E82" i="3"/>
  <c r="O83" i="3"/>
  <c r="K83" i="3"/>
  <c r="G81" i="3"/>
  <c r="C83" i="3"/>
  <c r="N82" i="3"/>
  <c r="J82" i="3"/>
  <c r="F82" i="3"/>
  <c r="AC82" i="3"/>
  <c r="Y82" i="3"/>
  <c r="U83" i="3"/>
  <c r="D83" i="3"/>
  <c r="AB82" i="3"/>
  <c r="X82" i="3"/>
  <c r="T83" i="3"/>
  <c r="AD81" i="3"/>
  <c r="Y83" i="3"/>
  <c r="T82" i="3"/>
  <c r="AE83" i="3"/>
  <c r="AA83" i="3"/>
  <c r="W83" i="3"/>
  <c r="S82" i="3"/>
  <c r="Z111" i="3"/>
  <c r="Z95" i="3"/>
  <c r="AD83" i="3"/>
  <c r="Z83" i="3"/>
  <c r="Z87" i="3"/>
  <c r="V83" i="3"/>
  <c r="R82" i="3"/>
  <c r="W80" i="3"/>
  <c r="W152" i="3" s="1"/>
  <c r="G80" i="3"/>
  <c r="G135" i="3" s="1"/>
  <c r="S81" i="3"/>
  <c r="S83" i="3"/>
  <c r="G83" i="3"/>
  <c r="AC83" i="3"/>
  <c r="AD80" i="3"/>
  <c r="Z80" i="3"/>
  <c r="Z160" i="3" s="1"/>
  <c r="V80" i="3"/>
  <c r="V155" i="3" s="1"/>
  <c r="R80" i="3"/>
  <c r="R135" i="3" s="1"/>
  <c r="N80" i="3"/>
  <c r="J80" i="3"/>
  <c r="J154" i="3" s="1"/>
  <c r="F80" i="3"/>
  <c r="F102" i="3" s="1"/>
  <c r="B81" i="3"/>
  <c r="Z81" i="3"/>
  <c r="V81" i="3"/>
  <c r="R81" i="3"/>
  <c r="N81" i="3"/>
  <c r="J81" i="3"/>
  <c r="F81" i="3"/>
  <c r="P82" i="3"/>
  <c r="L82" i="3"/>
  <c r="H82" i="3"/>
  <c r="D82" i="3"/>
  <c r="AD82" i="3"/>
  <c r="Z82" i="3"/>
  <c r="V82" i="3"/>
  <c r="R83" i="3"/>
  <c r="N83" i="3"/>
  <c r="J83" i="3"/>
  <c r="F83" i="3"/>
  <c r="AF83" i="3"/>
  <c r="AB83" i="3"/>
  <c r="X83" i="3"/>
  <c r="AE80" i="3"/>
  <c r="AA80" i="3"/>
  <c r="AA152" i="3" s="1"/>
  <c r="S80" i="3"/>
  <c r="S144" i="3" s="1"/>
  <c r="O80" i="3"/>
  <c r="O143" i="3" s="1"/>
  <c r="K80" i="3"/>
  <c r="C80" i="3"/>
  <c r="C99" i="3" s="1"/>
  <c r="AE81" i="3"/>
  <c r="AA81" i="3"/>
  <c r="W81" i="3"/>
  <c r="O81" i="3"/>
  <c r="K81" i="3"/>
  <c r="C81" i="3"/>
  <c r="AE82" i="3"/>
  <c r="AA82" i="3"/>
  <c r="W82" i="3"/>
  <c r="B80" i="3"/>
  <c r="B118" i="3" s="1"/>
  <c r="AC80" i="3"/>
  <c r="Y80" i="3"/>
  <c r="Y158" i="3" s="1"/>
  <c r="U80" i="3"/>
  <c r="U154" i="3" s="1"/>
  <c r="Q80" i="3"/>
  <c r="Q113" i="3" s="1"/>
  <c r="M80" i="3"/>
  <c r="I80" i="3"/>
  <c r="I137" i="3" s="1"/>
  <c r="E80" i="3"/>
  <c r="AC81" i="3"/>
  <c r="Y81" i="3"/>
  <c r="U81" i="3"/>
  <c r="Q81" i="3"/>
  <c r="M81" i="3"/>
  <c r="I81" i="3"/>
  <c r="E81" i="3"/>
  <c r="U82" i="3"/>
  <c r="AF80" i="3"/>
  <c r="AB80" i="3"/>
  <c r="X80" i="3"/>
  <c r="X159" i="3" s="1"/>
  <c r="T80" i="3"/>
  <c r="T145" i="3" s="1"/>
  <c r="P80" i="3"/>
  <c r="P160" i="3" s="1"/>
  <c r="L80" i="3"/>
  <c r="H80" i="3"/>
  <c r="H120" i="3" s="1"/>
  <c r="D80" i="3"/>
  <c r="D116" i="3" s="1"/>
  <c r="AF81" i="3"/>
  <c r="AB81" i="3"/>
  <c r="X81" i="3"/>
  <c r="T81" i="3"/>
  <c r="AF82" i="3"/>
  <c r="P83" i="3"/>
  <c r="L83" i="3"/>
  <c r="H83" i="3"/>
  <c r="AF158" i="3" l="1"/>
  <c r="AF159" i="3"/>
  <c r="AF153" i="3"/>
  <c r="AF137" i="3"/>
  <c r="E159" i="3"/>
  <c r="E143" i="3"/>
  <c r="E127" i="3"/>
  <c r="E111" i="3"/>
  <c r="E95" i="3"/>
  <c r="E152" i="3"/>
  <c r="E136" i="3"/>
  <c r="E120" i="3"/>
  <c r="E104" i="3"/>
  <c r="E88" i="3"/>
  <c r="E157" i="3"/>
  <c r="E141" i="3"/>
  <c r="E125" i="3"/>
  <c r="E109" i="3"/>
  <c r="E93" i="3"/>
  <c r="E158" i="3"/>
  <c r="E142" i="3"/>
  <c r="E126" i="3"/>
  <c r="E147" i="3"/>
  <c r="E131" i="3"/>
  <c r="E115" i="3"/>
  <c r="E99" i="3"/>
  <c r="E156" i="3"/>
  <c r="E140" i="3"/>
  <c r="E124" i="3"/>
  <c r="E108" i="3"/>
  <c r="E92" i="3"/>
  <c r="E145" i="3"/>
  <c r="E129" i="3"/>
  <c r="E113" i="3"/>
  <c r="E97" i="3"/>
  <c r="E151" i="3"/>
  <c r="E135" i="3"/>
  <c r="E119" i="3"/>
  <c r="E103" i="3"/>
  <c r="E87" i="3"/>
  <c r="E160" i="3"/>
  <c r="E144" i="3"/>
  <c r="E128" i="3"/>
  <c r="E112" i="3"/>
  <c r="E96" i="3"/>
  <c r="E155" i="3"/>
  <c r="E139" i="3"/>
  <c r="E123" i="3"/>
  <c r="E107" i="3"/>
  <c r="E91" i="3"/>
  <c r="E148" i="3"/>
  <c r="E132" i="3"/>
  <c r="E116" i="3"/>
  <c r="E100" i="3"/>
  <c r="E153" i="3"/>
  <c r="E137" i="3"/>
  <c r="E121" i="3"/>
  <c r="E105" i="3"/>
  <c r="E89" i="3"/>
  <c r="E154" i="3"/>
  <c r="E138" i="3"/>
  <c r="E122" i="3"/>
  <c r="E106" i="3"/>
  <c r="E90" i="3"/>
  <c r="L150" i="3"/>
  <c r="L134" i="3"/>
  <c r="L118" i="3"/>
  <c r="L102" i="3"/>
  <c r="L159" i="3"/>
  <c r="L143" i="3"/>
  <c r="L127" i="3"/>
  <c r="L111" i="3"/>
  <c r="L95" i="3"/>
  <c r="L148" i="3"/>
  <c r="L132" i="3"/>
  <c r="L116" i="3"/>
  <c r="L100" i="3"/>
  <c r="L149" i="3"/>
  <c r="L133" i="3"/>
  <c r="L117" i="3"/>
  <c r="L154" i="3"/>
  <c r="L138" i="3"/>
  <c r="L122" i="3"/>
  <c r="L106" i="3"/>
  <c r="L90" i="3"/>
  <c r="L147" i="3"/>
  <c r="L131" i="3"/>
  <c r="L115" i="3"/>
  <c r="L99" i="3"/>
  <c r="L152" i="3"/>
  <c r="L136" i="3"/>
  <c r="L120" i="3"/>
  <c r="L104" i="3"/>
  <c r="L158" i="3"/>
  <c r="L142" i="3"/>
  <c r="L126" i="3"/>
  <c r="L110" i="3"/>
  <c r="L94" i="3"/>
  <c r="L151" i="3"/>
  <c r="L135" i="3"/>
  <c r="L119" i="3"/>
  <c r="L103" i="3"/>
  <c r="L146" i="3"/>
  <c r="L130" i="3"/>
  <c r="L114" i="3"/>
  <c r="L98" i="3"/>
  <c r="L155" i="3"/>
  <c r="L139" i="3"/>
  <c r="L123" i="3"/>
  <c r="L107" i="3"/>
  <c r="L91" i="3"/>
  <c r="L160" i="3"/>
  <c r="L144" i="3"/>
  <c r="L128" i="3"/>
  <c r="L112" i="3"/>
  <c r="L96" i="3"/>
  <c r="L88" i="3"/>
  <c r="L145" i="3"/>
  <c r="L129" i="3"/>
  <c r="L113" i="3"/>
  <c r="L97" i="3"/>
  <c r="AB159" i="3"/>
  <c r="AB149" i="3"/>
  <c r="AB133" i="3"/>
  <c r="M151" i="3"/>
  <c r="M135" i="3"/>
  <c r="M119" i="3"/>
  <c r="M103" i="3"/>
  <c r="M160" i="3"/>
  <c r="M144" i="3"/>
  <c r="M128" i="3"/>
  <c r="M112" i="3"/>
  <c r="M96" i="3"/>
  <c r="M149" i="3"/>
  <c r="M133" i="3"/>
  <c r="M117" i="3"/>
  <c r="M101" i="3"/>
  <c r="M150" i="3"/>
  <c r="M134" i="3"/>
  <c r="M118" i="3"/>
  <c r="M155" i="3"/>
  <c r="M139" i="3"/>
  <c r="M123" i="3"/>
  <c r="M107" i="3"/>
  <c r="M91" i="3"/>
  <c r="M148" i="3"/>
  <c r="M132" i="3"/>
  <c r="M116" i="3"/>
  <c r="M100" i="3"/>
  <c r="M153" i="3"/>
  <c r="M137" i="3"/>
  <c r="M121" i="3"/>
  <c r="M105" i="3"/>
  <c r="M89" i="3"/>
  <c r="M159" i="3"/>
  <c r="M143" i="3"/>
  <c r="M127" i="3"/>
  <c r="M111" i="3"/>
  <c r="M95" i="3"/>
  <c r="M87" i="3"/>
  <c r="M152" i="3"/>
  <c r="M136" i="3"/>
  <c r="M120" i="3"/>
  <c r="M104" i="3"/>
  <c r="M88" i="3"/>
  <c r="M147" i="3"/>
  <c r="M131" i="3"/>
  <c r="M115" i="3"/>
  <c r="M99" i="3"/>
  <c r="M156" i="3"/>
  <c r="M140" i="3"/>
  <c r="M124" i="3"/>
  <c r="M108" i="3"/>
  <c r="M92" i="3"/>
  <c r="M145" i="3"/>
  <c r="M129" i="3"/>
  <c r="M113" i="3"/>
  <c r="M97" i="3"/>
  <c r="M146" i="3"/>
  <c r="M130" i="3"/>
  <c r="M114" i="3"/>
  <c r="M98" i="3"/>
  <c r="M90" i="3"/>
  <c r="AC160" i="3"/>
  <c r="AC159" i="3"/>
  <c r="AC158" i="3"/>
  <c r="AC150" i="3"/>
  <c r="AC134" i="3"/>
  <c r="K149" i="3"/>
  <c r="K133" i="3"/>
  <c r="K117" i="3"/>
  <c r="K101" i="3"/>
  <c r="K158" i="3"/>
  <c r="K142" i="3"/>
  <c r="K126" i="3"/>
  <c r="K110" i="3"/>
  <c r="K94" i="3"/>
  <c r="K147" i="3"/>
  <c r="K131" i="3"/>
  <c r="K115" i="3"/>
  <c r="K99" i="3"/>
  <c r="K148" i="3"/>
  <c r="K132" i="3"/>
  <c r="K116" i="3"/>
  <c r="K153" i="3"/>
  <c r="K137" i="3"/>
  <c r="K121" i="3"/>
  <c r="K105" i="3"/>
  <c r="K89" i="3"/>
  <c r="K146" i="3"/>
  <c r="K130" i="3"/>
  <c r="K114" i="3"/>
  <c r="K98" i="3"/>
  <c r="K151" i="3"/>
  <c r="K135" i="3"/>
  <c r="K119" i="3"/>
  <c r="K103" i="3"/>
  <c r="K157" i="3"/>
  <c r="K141" i="3"/>
  <c r="K125" i="3"/>
  <c r="K109" i="3"/>
  <c r="K93" i="3"/>
  <c r="K150" i="3"/>
  <c r="K134" i="3"/>
  <c r="K118" i="3"/>
  <c r="K102" i="3"/>
  <c r="K145" i="3"/>
  <c r="K129" i="3"/>
  <c r="K113" i="3"/>
  <c r="K97" i="3"/>
  <c r="K154" i="3"/>
  <c r="K138" i="3"/>
  <c r="K122" i="3"/>
  <c r="K106" i="3"/>
  <c r="K90" i="3"/>
  <c r="K159" i="3"/>
  <c r="K143" i="3"/>
  <c r="K127" i="3"/>
  <c r="K111" i="3"/>
  <c r="K95" i="3"/>
  <c r="K87" i="3"/>
  <c r="K160" i="3"/>
  <c r="K144" i="3"/>
  <c r="K128" i="3"/>
  <c r="K112" i="3"/>
  <c r="K96" i="3"/>
  <c r="K88" i="3"/>
  <c r="AE160" i="3"/>
  <c r="AE152" i="3"/>
  <c r="AE136" i="3"/>
  <c r="N152" i="3"/>
  <c r="N136" i="3"/>
  <c r="N120" i="3"/>
  <c r="N104" i="3"/>
  <c r="N88" i="3"/>
  <c r="N145" i="3"/>
  <c r="N129" i="3"/>
  <c r="N113" i="3"/>
  <c r="N97" i="3"/>
  <c r="N150" i="3"/>
  <c r="N134" i="3"/>
  <c r="N118" i="3"/>
  <c r="N102" i="3"/>
  <c r="N151" i="3"/>
  <c r="N135" i="3"/>
  <c r="N119" i="3"/>
  <c r="N156" i="3"/>
  <c r="N140" i="3"/>
  <c r="N124" i="3"/>
  <c r="N108" i="3"/>
  <c r="N92" i="3"/>
  <c r="N149" i="3"/>
  <c r="N133" i="3"/>
  <c r="N117" i="3"/>
  <c r="N101" i="3"/>
  <c r="N154" i="3"/>
  <c r="N138" i="3"/>
  <c r="N122" i="3"/>
  <c r="N106" i="3"/>
  <c r="N90" i="3"/>
  <c r="N160" i="3"/>
  <c r="N144" i="3"/>
  <c r="N128" i="3"/>
  <c r="N112" i="3"/>
  <c r="N96" i="3"/>
  <c r="N153" i="3"/>
  <c r="N137" i="3"/>
  <c r="N121" i="3"/>
  <c r="N105" i="3"/>
  <c r="N89" i="3"/>
  <c r="N148" i="3"/>
  <c r="N132" i="3"/>
  <c r="N116" i="3"/>
  <c r="N100" i="3"/>
  <c r="N157" i="3"/>
  <c r="N141" i="3"/>
  <c r="N125" i="3"/>
  <c r="N109" i="3"/>
  <c r="N93" i="3"/>
  <c r="N146" i="3"/>
  <c r="N130" i="3"/>
  <c r="N114" i="3"/>
  <c r="N98" i="3"/>
  <c r="N147" i="3"/>
  <c r="N131" i="3"/>
  <c r="N115" i="3"/>
  <c r="N99" i="3"/>
  <c r="N87" i="3"/>
  <c r="AD160" i="3"/>
  <c r="AD159" i="3"/>
  <c r="AD151" i="3"/>
  <c r="AD135" i="3"/>
  <c r="R87" i="3"/>
  <c r="V87" i="3"/>
  <c r="AD87" i="3"/>
  <c r="S88" i="3"/>
  <c r="T89" i="3"/>
  <c r="U90" i="3"/>
  <c r="V91" i="3"/>
  <c r="W92" i="3"/>
  <c r="X93" i="3"/>
  <c r="Y94" i="3"/>
  <c r="AA96" i="3"/>
  <c r="AB97" i="3"/>
  <c r="AC98" i="3"/>
  <c r="AD99" i="3"/>
  <c r="AE100" i="3"/>
  <c r="AF101" i="3"/>
  <c r="R103" i="3"/>
  <c r="S104" i="3"/>
  <c r="T105" i="3"/>
  <c r="U106" i="3"/>
  <c r="V107" i="3"/>
  <c r="W108" i="3"/>
  <c r="X109" i="3"/>
  <c r="Y110" i="3"/>
  <c r="AA112" i="3"/>
  <c r="R90" i="3"/>
  <c r="AE91" i="3"/>
  <c r="AF92" i="3"/>
  <c r="R94" i="3"/>
  <c r="S95" i="3"/>
  <c r="T96" i="3"/>
  <c r="U97" i="3"/>
  <c r="V98" i="3"/>
  <c r="W99" i="3"/>
  <c r="X100" i="3"/>
  <c r="Y101" i="3"/>
  <c r="Z102" i="3"/>
  <c r="AA103" i="3"/>
  <c r="AB104" i="3"/>
  <c r="AC105" i="3"/>
  <c r="AD106" i="3"/>
  <c r="AE107" i="3"/>
  <c r="AF108" i="3"/>
  <c r="R110" i="3"/>
  <c r="S111" i="3"/>
  <c r="T112" i="3"/>
  <c r="U113" i="3"/>
  <c r="T87" i="3"/>
  <c r="X87" i="3"/>
  <c r="AB87" i="3"/>
  <c r="AF87" i="3"/>
  <c r="U88" i="3"/>
  <c r="V89" i="3"/>
  <c r="W90" i="3"/>
  <c r="X91" i="3"/>
  <c r="Y92" i="3"/>
  <c r="Z93" i="3"/>
  <c r="AA94" i="3"/>
  <c r="AB95" i="3"/>
  <c r="AC96" i="3"/>
  <c r="AD97" i="3"/>
  <c r="AE98" i="3"/>
  <c r="AF99" i="3"/>
  <c r="R101" i="3"/>
  <c r="S102" i="3"/>
  <c r="T103" i="3"/>
  <c r="U104" i="3"/>
  <c r="V105" i="3"/>
  <c r="W106" i="3"/>
  <c r="X107" i="3"/>
  <c r="Y108" i="3"/>
  <c r="Z109" i="3"/>
  <c r="AA110" i="3"/>
  <c r="AB111" i="3"/>
  <c r="AC112" i="3"/>
  <c r="AD113" i="3"/>
  <c r="AE114" i="3"/>
  <c r="Z88" i="3"/>
  <c r="Z28" i="5" s="1"/>
  <c r="AA89" i="3"/>
  <c r="AB90" i="3"/>
  <c r="AC91" i="3"/>
  <c r="AD92" i="3"/>
  <c r="AE93" i="3"/>
  <c r="AF94" i="3"/>
  <c r="R96" i="3"/>
  <c r="S97" i="3"/>
  <c r="T98" i="3"/>
  <c r="U99" i="3"/>
  <c r="V100" i="3"/>
  <c r="W101" i="3"/>
  <c r="X102" i="3"/>
  <c r="Y103" i="3"/>
  <c r="Z104" i="3"/>
  <c r="AA105" i="3"/>
  <c r="AB106" i="3"/>
  <c r="AC107" i="3"/>
  <c r="AD108" i="3"/>
  <c r="AE109" i="3"/>
  <c r="AF110" i="3"/>
  <c r="R112" i="3"/>
  <c r="S113" i="3"/>
  <c r="V114" i="3"/>
  <c r="W115" i="3"/>
  <c r="X116" i="3"/>
  <c r="Y117" i="3"/>
  <c r="Z118" i="3"/>
  <c r="AA119" i="3"/>
  <c r="AB120" i="3"/>
  <c r="AC121" i="3"/>
  <c r="AD122" i="3"/>
  <c r="AE123" i="3"/>
  <c r="AF124" i="3"/>
  <c r="R126" i="3"/>
  <c r="S127" i="3"/>
  <c r="T128" i="3"/>
  <c r="U129" i="3"/>
  <c r="V130" i="3"/>
  <c r="W131" i="3"/>
  <c r="X132" i="3"/>
  <c r="Y133" i="3"/>
  <c r="Z134" i="3"/>
  <c r="AA135" i="3"/>
  <c r="AB136" i="3"/>
  <c r="AC137" i="3"/>
  <c r="AD138" i="3"/>
  <c r="AE139" i="3"/>
  <c r="AF140" i="3"/>
  <c r="R142" i="3"/>
  <c r="S143" i="3"/>
  <c r="T144" i="3"/>
  <c r="U145" i="3"/>
  <c r="V146" i="3"/>
  <c r="W147" i="3"/>
  <c r="X148" i="3"/>
  <c r="Y149" i="3"/>
  <c r="Z150" i="3"/>
  <c r="AA151" i="3"/>
  <c r="AB152" i="3"/>
  <c r="AC153" i="3"/>
  <c r="AD154" i="3"/>
  <c r="AE155" i="3"/>
  <c r="AF156" i="3"/>
  <c r="R158" i="3"/>
  <c r="S159" i="3"/>
  <c r="AF115" i="3"/>
  <c r="R117" i="3"/>
  <c r="S118" i="3"/>
  <c r="T119" i="3"/>
  <c r="U120" i="3"/>
  <c r="V121" i="3"/>
  <c r="W122" i="3"/>
  <c r="X123" i="3"/>
  <c r="Y124" i="3"/>
  <c r="Z125" i="3"/>
  <c r="AA126" i="3"/>
  <c r="AB127" i="3"/>
  <c r="AC128" i="3"/>
  <c r="AD129" i="3"/>
  <c r="AE130" i="3"/>
  <c r="AF131" i="3"/>
  <c r="R133" i="3"/>
  <c r="S134" i="3"/>
  <c r="T135" i="3"/>
  <c r="U136" i="3"/>
  <c r="V137" i="3"/>
  <c r="W138" i="3"/>
  <c r="X139" i="3"/>
  <c r="Y140" i="3"/>
  <c r="Z141" i="3"/>
  <c r="AA142" i="3"/>
  <c r="AB143" i="3"/>
  <c r="AC144" i="3"/>
  <c r="AD145" i="3"/>
  <c r="AE146" i="3"/>
  <c r="AF147" i="3"/>
  <c r="R149" i="3"/>
  <c r="S150" i="3"/>
  <c r="T151" i="3"/>
  <c r="U152" i="3"/>
  <c r="V153" i="3"/>
  <c r="W154" i="3"/>
  <c r="X155" i="3"/>
  <c r="Y156" i="3"/>
  <c r="Z157" i="3"/>
  <c r="AA158" i="3"/>
  <c r="X114" i="3"/>
  <c r="Y115" i="3"/>
  <c r="Z116" i="3"/>
  <c r="AA117" i="3"/>
  <c r="AB118" i="3"/>
  <c r="AC119" i="3"/>
  <c r="AD120" i="3"/>
  <c r="AE121" i="3"/>
  <c r="AF122" i="3"/>
  <c r="R124" i="3"/>
  <c r="S125" i="3"/>
  <c r="T126" i="3"/>
  <c r="U127" i="3"/>
  <c r="V128" i="3"/>
  <c r="W129" i="3"/>
  <c r="X130" i="3"/>
  <c r="Y131" i="3"/>
  <c r="Z132" i="3"/>
  <c r="AA133" i="3"/>
  <c r="AB134" i="3"/>
  <c r="AC135" i="3"/>
  <c r="AD136" i="3"/>
  <c r="AE137" i="3"/>
  <c r="AF138" i="3"/>
  <c r="R140" i="3"/>
  <c r="S141" i="3"/>
  <c r="T142" i="3"/>
  <c r="U143" i="3"/>
  <c r="V144" i="3"/>
  <c r="W145" i="3"/>
  <c r="X146" i="3"/>
  <c r="Y147" i="3"/>
  <c r="Z148" i="3"/>
  <c r="AA149" i="3"/>
  <c r="AB150" i="3"/>
  <c r="AC151" i="3"/>
  <c r="AD152" i="3"/>
  <c r="AE153" i="3"/>
  <c r="AF154" i="3"/>
  <c r="R156" i="3"/>
  <c r="S157" i="3"/>
  <c r="T158" i="3"/>
  <c r="AB113" i="3"/>
  <c r="AC114" i="3"/>
  <c r="AD115" i="3"/>
  <c r="AE116" i="3"/>
  <c r="AF117" i="3"/>
  <c r="R119" i="3"/>
  <c r="S120" i="3"/>
  <c r="T121" i="3"/>
  <c r="U122" i="3"/>
  <c r="V123" i="3"/>
  <c r="W124" i="3"/>
  <c r="X125" i="3"/>
  <c r="Y126" i="3"/>
  <c r="AD127" i="3"/>
  <c r="T129" i="3"/>
  <c r="AC130" i="3"/>
  <c r="S132" i="3"/>
  <c r="X133" i="3"/>
  <c r="W136" i="3"/>
  <c r="AB137" i="3"/>
  <c r="V139" i="3"/>
  <c r="AA140" i="3"/>
  <c r="AF141" i="3"/>
  <c r="Z143" i="3"/>
  <c r="AE144" i="3"/>
  <c r="U146" i="3"/>
  <c r="AD147" i="3"/>
  <c r="T149" i="3"/>
  <c r="Y150" i="3"/>
  <c r="S152" i="3"/>
  <c r="X153" i="3"/>
  <c r="AC154" i="3"/>
  <c r="W156" i="3"/>
  <c r="AB157" i="3"/>
  <c r="AE159" i="3"/>
  <c r="L89" i="3"/>
  <c r="J91" i="3"/>
  <c r="O92" i="3"/>
  <c r="E94" i="3"/>
  <c r="N95" i="3"/>
  <c r="D97" i="3"/>
  <c r="I98" i="3"/>
  <c r="C100" i="3"/>
  <c r="H101" i="3"/>
  <c r="M102" i="3"/>
  <c r="G104" i="3"/>
  <c r="L105" i="3"/>
  <c r="Q106" i="3"/>
  <c r="K108" i="3"/>
  <c r="P109" i="3"/>
  <c r="F111" i="3"/>
  <c r="O112" i="3"/>
  <c r="E114" i="3"/>
  <c r="G116" i="3"/>
  <c r="I118" i="3"/>
  <c r="K120" i="3"/>
  <c r="M122" i="3"/>
  <c r="O124" i="3"/>
  <c r="Q126" i="3"/>
  <c r="D129" i="3"/>
  <c r="F131" i="3"/>
  <c r="H133" i="3"/>
  <c r="J135" i="3"/>
  <c r="L137" i="3"/>
  <c r="N139" i="3"/>
  <c r="P141" i="3"/>
  <c r="C144" i="3"/>
  <c r="E146" i="3"/>
  <c r="G148" i="3"/>
  <c r="I150" i="3"/>
  <c r="K152" i="3"/>
  <c r="M154" i="3"/>
  <c r="O156" i="3"/>
  <c r="Q158" i="3"/>
  <c r="B89" i="3"/>
  <c r="B121" i="3"/>
  <c r="B153" i="3"/>
  <c r="B135" i="3"/>
  <c r="Y160" i="3"/>
  <c r="L92" i="3"/>
  <c r="P96" i="3"/>
  <c r="E101" i="3"/>
  <c r="I105" i="3"/>
  <c r="M109" i="3"/>
  <c r="F118" i="3"/>
  <c r="J122" i="3"/>
  <c r="N126" i="3"/>
  <c r="C131" i="3"/>
  <c r="K139" i="3"/>
  <c r="D148" i="3"/>
  <c r="H152" i="3"/>
  <c r="L156" i="3"/>
  <c r="B140" i="3"/>
  <c r="P154" i="3"/>
  <c r="P138" i="3"/>
  <c r="P122" i="3"/>
  <c r="P106" i="3"/>
  <c r="P90" i="3"/>
  <c r="P147" i="3"/>
  <c r="P131" i="3"/>
  <c r="P115" i="3"/>
  <c r="P99" i="3"/>
  <c r="P152" i="3"/>
  <c r="P136" i="3"/>
  <c r="P120" i="3"/>
  <c r="P104" i="3"/>
  <c r="P153" i="3"/>
  <c r="P137" i="3"/>
  <c r="P121" i="3"/>
  <c r="P158" i="3"/>
  <c r="P142" i="3"/>
  <c r="P126" i="3"/>
  <c r="P110" i="3"/>
  <c r="P94" i="3"/>
  <c r="P151" i="3"/>
  <c r="P135" i="3"/>
  <c r="P119" i="3"/>
  <c r="P103" i="3"/>
  <c r="P156" i="3"/>
  <c r="P140" i="3"/>
  <c r="P124" i="3"/>
  <c r="P108" i="3"/>
  <c r="P92" i="3"/>
  <c r="P88" i="3"/>
  <c r="P146" i="3"/>
  <c r="P130" i="3"/>
  <c r="P114" i="3"/>
  <c r="P98" i="3"/>
  <c r="P155" i="3"/>
  <c r="P139" i="3"/>
  <c r="P123" i="3"/>
  <c r="P107" i="3"/>
  <c r="P91" i="3"/>
  <c r="P150" i="3"/>
  <c r="P134" i="3"/>
  <c r="P118" i="3"/>
  <c r="P102" i="3"/>
  <c r="P159" i="3"/>
  <c r="P143" i="3"/>
  <c r="P127" i="3"/>
  <c r="P111" i="3"/>
  <c r="P95" i="3"/>
  <c r="P87" i="3"/>
  <c r="P148" i="3"/>
  <c r="P132" i="3"/>
  <c r="P116" i="3"/>
  <c r="P100" i="3"/>
  <c r="P149" i="3"/>
  <c r="P133" i="3"/>
  <c r="P117" i="3"/>
  <c r="P101" i="3"/>
  <c r="Q155" i="3"/>
  <c r="Q139" i="3"/>
  <c r="Q123" i="3"/>
  <c r="Q107" i="3"/>
  <c r="Q91" i="3"/>
  <c r="Q148" i="3"/>
  <c r="Q132" i="3"/>
  <c r="Q116" i="3"/>
  <c r="Q100" i="3"/>
  <c r="Q153" i="3"/>
  <c r="Q137" i="3"/>
  <c r="Q121" i="3"/>
  <c r="Q105" i="3"/>
  <c r="Q89" i="3"/>
  <c r="Q154" i="3"/>
  <c r="Q138" i="3"/>
  <c r="Q122" i="3"/>
  <c r="Q159" i="3"/>
  <c r="Q143" i="3"/>
  <c r="Q127" i="3"/>
  <c r="Q111" i="3"/>
  <c r="Q95" i="3"/>
  <c r="Q152" i="3"/>
  <c r="Q136" i="3"/>
  <c r="Q120" i="3"/>
  <c r="Q104" i="3"/>
  <c r="Q88" i="3"/>
  <c r="Q157" i="3"/>
  <c r="Q141" i="3"/>
  <c r="Q125" i="3"/>
  <c r="Q109" i="3"/>
  <c r="Q93" i="3"/>
  <c r="Q147" i="3"/>
  <c r="Q131" i="3"/>
  <c r="Q115" i="3"/>
  <c r="Q99" i="3"/>
  <c r="Q87" i="3"/>
  <c r="Q156" i="3"/>
  <c r="Q140" i="3"/>
  <c r="Q124" i="3"/>
  <c r="Q108" i="3"/>
  <c r="Q92" i="3"/>
  <c r="Q151" i="3"/>
  <c r="Q135" i="3"/>
  <c r="Q119" i="3"/>
  <c r="Q103" i="3"/>
  <c r="Q160" i="3"/>
  <c r="Q144" i="3"/>
  <c r="Q128" i="3"/>
  <c r="Q112" i="3"/>
  <c r="Q96" i="3"/>
  <c r="Q149" i="3"/>
  <c r="Q133" i="3"/>
  <c r="Q117" i="3"/>
  <c r="Q101" i="3"/>
  <c r="Q150" i="3"/>
  <c r="Q134" i="3"/>
  <c r="Q118" i="3"/>
  <c r="Q102" i="3"/>
  <c r="O153" i="3"/>
  <c r="O137" i="3"/>
  <c r="O121" i="3"/>
  <c r="O105" i="3"/>
  <c r="O89" i="3"/>
  <c r="O146" i="3"/>
  <c r="O130" i="3"/>
  <c r="O114" i="3"/>
  <c r="O98" i="3"/>
  <c r="O151" i="3"/>
  <c r="O135" i="3"/>
  <c r="O119" i="3"/>
  <c r="O103" i="3"/>
  <c r="O152" i="3"/>
  <c r="O136" i="3"/>
  <c r="O120" i="3"/>
  <c r="O157" i="3"/>
  <c r="O141" i="3"/>
  <c r="O125" i="3"/>
  <c r="O109" i="3"/>
  <c r="O93" i="3"/>
  <c r="O150" i="3"/>
  <c r="O134" i="3"/>
  <c r="O118" i="3"/>
  <c r="O102" i="3"/>
  <c r="O155" i="3"/>
  <c r="O139" i="3"/>
  <c r="O123" i="3"/>
  <c r="O107" i="3"/>
  <c r="O91" i="3"/>
  <c r="O145" i="3"/>
  <c r="O129" i="3"/>
  <c r="O113" i="3"/>
  <c r="O97" i="3"/>
  <c r="O154" i="3"/>
  <c r="O138" i="3"/>
  <c r="O122" i="3"/>
  <c r="O106" i="3"/>
  <c r="O90" i="3"/>
  <c r="O149" i="3"/>
  <c r="O133" i="3"/>
  <c r="O117" i="3"/>
  <c r="O101" i="3"/>
  <c r="O158" i="3"/>
  <c r="O142" i="3"/>
  <c r="O126" i="3"/>
  <c r="O110" i="3"/>
  <c r="O94" i="3"/>
  <c r="O147" i="3"/>
  <c r="O131" i="3"/>
  <c r="O115" i="3"/>
  <c r="O99" i="3"/>
  <c r="O87" i="3"/>
  <c r="O148" i="3"/>
  <c r="O132" i="3"/>
  <c r="O116" i="3"/>
  <c r="O100" i="3"/>
  <c r="R160" i="3"/>
  <c r="R159" i="3"/>
  <c r="R155" i="3"/>
  <c r="R139" i="3"/>
  <c r="G145" i="3"/>
  <c r="G129" i="3"/>
  <c r="G113" i="3"/>
  <c r="G97" i="3"/>
  <c r="G154" i="3"/>
  <c r="G138" i="3"/>
  <c r="G122" i="3"/>
  <c r="G106" i="3"/>
  <c r="G90" i="3"/>
  <c r="G159" i="3"/>
  <c r="G143" i="3"/>
  <c r="G127" i="3"/>
  <c r="G111" i="3"/>
  <c r="G95" i="3"/>
  <c r="G160" i="3"/>
  <c r="G144" i="3"/>
  <c r="G128" i="3"/>
  <c r="G149" i="3"/>
  <c r="G133" i="3"/>
  <c r="G117" i="3"/>
  <c r="G101" i="3"/>
  <c r="G158" i="3"/>
  <c r="G142" i="3"/>
  <c r="G126" i="3"/>
  <c r="G110" i="3"/>
  <c r="G94" i="3"/>
  <c r="G147" i="3"/>
  <c r="G131" i="3"/>
  <c r="G115" i="3"/>
  <c r="G99" i="3"/>
  <c r="G153" i="3"/>
  <c r="G137" i="3"/>
  <c r="G121" i="3"/>
  <c r="G105" i="3"/>
  <c r="G89" i="3"/>
  <c r="G146" i="3"/>
  <c r="G130" i="3"/>
  <c r="G114" i="3"/>
  <c r="G98" i="3"/>
  <c r="G157" i="3"/>
  <c r="G141" i="3"/>
  <c r="G125" i="3"/>
  <c r="G109" i="3"/>
  <c r="G93" i="3"/>
  <c r="G150" i="3"/>
  <c r="G134" i="3"/>
  <c r="G118" i="3"/>
  <c r="G102" i="3"/>
  <c r="G155" i="3"/>
  <c r="G139" i="3"/>
  <c r="G123" i="3"/>
  <c r="G107" i="3"/>
  <c r="G91" i="3"/>
  <c r="G87" i="3"/>
  <c r="G156" i="3"/>
  <c r="G140" i="3"/>
  <c r="G124" i="3"/>
  <c r="G108" i="3"/>
  <c r="G92" i="3"/>
  <c r="W88" i="3"/>
  <c r="X89" i="3"/>
  <c r="Y90" i="3"/>
  <c r="Z91" i="3"/>
  <c r="AA92" i="3"/>
  <c r="AB93" i="3"/>
  <c r="AC94" i="3"/>
  <c r="AD95" i="3"/>
  <c r="AE96" i="3"/>
  <c r="AF97" i="3"/>
  <c r="R99" i="3"/>
  <c r="S100" i="3"/>
  <c r="T101" i="3"/>
  <c r="U102" i="3"/>
  <c r="V103" i="3"/>
  <c r="W104" i="3"/>
  <c r="X105" i="3"/>
  <c r="Y106" i="3"/>
  <c r="Z107" i="3"/>
  <c r="AA108" i="3"/>
  <c r="AB109" i="3"/>
  <c r="AC110" i="3"/>
  <c r="AD111" i="3"/>
  <c r="AE112" i="3"/>
  <c r="X88" i="3"/>
  <c r="U89" i="3"/>
  <c r="V90" i="3"/>
  <c r="S91" i="3"/>
  <c r="T92" i="3"/>
  <c r="U93" i="3"/>
  <c r="V94" i="3"/>
  <c r="W95" i="3"/>
  <c r="X96" i="3"/>
  <c r="Y97" i="3"/>
  <c r="Z98" i="3"/>
  <c r="AA99" i="3"/>
  <c r="AB100" i="3"/>
  <c r="AC101" i="3"/>
  <c r="AD102" i="3"/>
  <c r="AE103" i="3"/>
  <c r="AF104" i="3"/>
  <c r="R106" i="3"/>
  <c r="S107" i="3"/>
  <c r="T108" i="3"/>
  <c r="U109" i="3"/>
  <c r="V110" i="3"/>
  <c r="W111" i="3"/>
  <c r="X112" i="3"/>
  <c r="Y113" i="3"/>
  <c r="Y88" i="3"/>
  <c r="Z89" i="3"/>
  <c r="AA90" i="3"/>
  <c r="AB91" i="3"/>
  <c r="AC92" i="3"/>
  <c r="AD93" i="3"/>
  <c r="AE94" i="3"/>
  <c r="AF95" i="3"/>
  <c r="R97" i="3"/>
  <c r="S98" i="3"/>
  <c r="T99" i="3"/>
  <c r="U100" i="3"/>
  <c r="V101" i="3"/>
  <c r="W102" i="3"/>
  <c r="X103" i="3"/>
  <c r="Y104" i="3"/>
  <c r="Z105" i="3"/>
  <c r="AA106" i="3"/>
  <c r="AB107" i="3"/>
  <c r="AC108" i="3"/>
  <c r="AD109" i="3"/>
  <c r="AE110" i="3"/>
  <c r="AF111" i="3"/>
  <c r="R113" i="3"/>
  <c r="S114" i="3"/>
  <c r="T115" i="3"/>
  <c r="AD88" i="3"/>
  <c r="AE89" i="3"/>
  <c r="AF90" i="3"/>
  <c r="R92" i="3"/>
  <c r="S93" i="3"/>
  <c r="T94" i="3"/>
  <c r="U95" i="3"/>
  <c r="V96" i="3"/>
  <c r="W97" i="3"/>
  <c r="X98" i="3"/>
  <c r="Y99" i="3"/>
  <c r="Z100" i="3"/>
  <c r="AA101" i="3"/>
  <c r="AB102" i="3"/>
  <c r="AC103" i="3"/>
  <c r="AD104" i="3"/>
  <c r="AE105" i="3"/>
  <c r="AF106" i="3"/>
  <c r="R108" i="3"/>
  <c r="S109" i="3"/>
  <c r="T110" i="3"/>
  <c r="U111" i="3"/>
  <c r="V112" i="3"/>
  <c r="W113" i="3"/>
  <c r="Z114" i="3"/>
  <c r="AA115" i="3"/>
  <c r="AB116" i="3"/>
  <c r="AC117" i="3"/>
  <c r="AD118" i="3"/>
  <c r="AE119" i="3"/>
  <c r="AF120" i="3"/>
  <c r="R122" i="3"/>
  <c r="S123" i="3"/>
  <c r="T124" i="3"/>
  <c r="U125" i="3"/>
  <c r="V126" i="3"/>
  <c r="W127" i="3"/>
  <c r="X128" i="3"/>
  <c r="Y129" i="3"/>
  <c r="Z130" i="3"/>
  <c r="AA131" i="3"/>
  <c r="AB132" i="3"/>
  <c r="AC133" i="3"/>
  <c r="AD134" i="3"/>
  <c r="AE135" i="3"/>
  <c r="AF136" i="3"/>
  <c r="R138" i="3"/>
  <c r="S139" i="3"/>
  <c r="T140" i="3"/>
  <c r="U141" i="3"/>
  <c r="V142" i="3"/>
  <c r="W143" i="3"/>
  <c r="X144" i="3"/>
  <c r="Y145" i="3"/>
  <c r="Z146" i="3"/>
  <c r="AA147" i="3"/>
  <c r="AB148" i="3"/>
  <c r="AC149" i="3"/>
  <c r="AD150" i="3"/>
  <c r="AE151" i="3"/>
  <c r="AF152" i="3"/>
  <c r="R154" i="3"/>
  <c r="S155" i="3"/>
  <c r="T156" i="3"/>
  <c r="U157" i="3"/>
  <c r="V158" i="3"/>
  <c r="W159" i="3"/>
  <c r="U116" i="3"/>
  <c r="V117" i="3"/>
  <c r="W118" i="3"/>
  <c r="X119" i="3"/>
  <c r="Y120" i="3"/>
  <c r="Z121" i="3"/>
  <c r="AA122" i="3"/>
  <c r="AB123" i="3"/>
  <c r="AC124" i="3"/>
  <c r="AD125" i="3"/>
  <c r="AE126" i="3"/>
  <c r="AF127" i="3"/>
  <c r="R129" i="3"/>
  <c r="S130" i="3"/>
  <c r="T131" i="3"/>
  <c r="U132" i="3"/>
  <c r="V133" i="3"/>
  <c r="W134" i="3"/>
  <c r="X135" i="3"/>
  <c r="Y136" i="3"/>
  <c r="Z137" i="3"/>
  <c r="AA138" i="3"/>
  <c r="AB139" i="3"/>
  <c r="AC140" i="3"/>
  <c r="AD141" i="3"/>
  <c r="AE142" i="3"/>
  <c r="AF143" i="3"/>
  <c r="R145" i="3"/>
  <c r="S146" i="3"/>
  <c r="T147" i="3"/>
  <c r="U148" i="3"/>
  <c r="V149" i="3"/>
  <c r="W150" i="3"/>
  <c r="X151" i="3"/>
  <c r="Y152" i="3"/>
  <c r="Z153" i="3"/>
  <c r="AA154" i="3"/>
  <c r="AB155" i="3"/>
  <c r="AC156" i="3"/>
  <c r="AD157" i="3"/>
  <c r="AE158" i="3"/>
  <c r="AB114" i="3"/>
  <c r="AC115" i="3"/>
  <c r="AD116" i="3"/>
  <c r="AE117" i="3"/>
  <c r="AF118" i="3"/>
  <c r="R120" i="3"/>
  <c r="S121" i="3"/>
  <c r="T122" i="3"/>
  <c r="U123" i="3"/>
  <c r="V124" i="3"/>
  <c r="W125" i="3"/>
  <c r="X126" i="3"/>
  <c r="Y127" i="3"/>
  <c r="Z128" i="3"/>
  <c r="AA129" i="3"/>
  <c r="AB130" i="3"/>
  <c r="AC131" i="3"/>
  <c r="AD132" i="3"/>
  <c r="AE133" i="3"/>
  <c r="AF134" i="3"/>
  <c r="R136" i="3"/>
  <c r="S137" i="3"/>
  <c r="T138" i="3"/>
  <c r="U139" i="3"/>
  <c r="V140" i="3"/>
  <c r="W141" i="3"/>
  <c r="X142" i="3"/>
  <c r="Y143" i="3"/>
  <c r="Z144" i="3"/>
  <c r="AA145" i="3"/>
  <c r="AB146" i="3"/>
  <c r="AC147" i="3"/>
  <c r="AD148" i="3"/>
  <c r="AE149" i="3"/>
  <c r="AF150" i="3"/>
  <c r="R152" i="3"/>
  <c r="S153" i="3"/>
  <c r="T154" i="3"/>
  <c r="U155" i="3"/>
  <c r="V156" i="3"/>
  <c r="W157" i="3"/>
  <c r="X158" i="3"/>
  <c r="AF113" i="3"/>
  <c r="R115" i="3"/>
  <c r="S116" i="3"/>
  <c r="T117" i="3"/>
  <c r="U118" i="3"/>
  <c r="V119" i="3"/>
  <c r="W120" i="3"/>
  <c r="X121" i="3"/>
  <c r="Y122" i="3"/>
  <c r="Z123" i="3"/>
  <c r="AA124" i="3"/>
  <c r="AB125" i="3"/>
  <c r="AC126" i="3"/>
  <c r="S128" i="3"/>
  <c r="AB129" i="3"/>
  <c r="R131" i="3"/>
  <c r="W132" i="3"/>
  <c r="AF133" i="3"/>
  <c r="V135" i="3"/>
  <c r="AA136" i="3"/>
  <c r="U138" i="3"/>
  <c r="Z139" i="3"/>
  <c r="AE140" i="3"/>
  <c r="Y142" i="3"/>
  <c r="AD143" i="3"/>
  <c r="AC146" i="3"/>
  <c r="S148" i="3"/>
  <c r="X149" i="3"/>
  <c r="R151" i="3"/>
  <c r="AB153" i="3"/>
  <c r="AA156" i="3"/>
  <c r="AF157" i="3"/>
  <c r="X160" i="3"/>
  <c r="O88" i="3"/>
  <c r="P89" i="3"/>
  <c r="N91" i="3"/>
  <c r="D93" i="3"/>
  <c r="M94" i="3"/>
  <c r="C96" i="3"/>
  <c r="H97" i="3"/>
  <c r="Q98" i="3"/>
  <c r="G100" i="3"/>
  <c r="L101" i="3"/>
  <c r="F103" i="3"/>
  <c r="K104" i="3"/>
  <c r="P105" i="3"/>
  <c r="J107" i="3"/>
  <c r="O108" i="3"/>
  <c r="E110" i="3"/>
  <c r="N111" i="3"/>
  <c r="D113" i="3"/>
  <c r="Q114" i="3"/>
  <c r="D117" i="3"/>
  <c r="F119" i="3"/>
  <c r="H121" i="3"/>
  <c r="J123" i="3"/>
  <c r="L125" i="3"/>
  <c r="N127" i="3"/>
  <c r="P129" i="3"/>
  <c r="C132" i="3"/>
  <c r="E134" i="3"/>
  <c r="G136" i="3"/>
  <c r="I138" i="3"/>
  <c r="K140" i="3"/>
  <c r="M142" i="3"/>
  <c r="O144" i="3"/>
  <c r="Q146" i="3"/>
  <c r="D149" i="3"/>
  <c r="F151" i="3"/>
  <c r="H153" i="3"/>
  <c r="J155" i="3"/>
  <c r="L157" i="3"/>
  <c r="N159" i="3"/>
  <c r="B101" i="3"/>
  <c r="B133" i="3"/>
  <c r="B122" i="3"/>
  <c r="B160" i="3"/>
  <c r="I89" i="3"/>
  <c r="M93" i="3"/>
  <c r="Q97" i="3"/>
  <c r="J106" i="3"/>
  <c r="N110" i="3"/>
  <c r="C115" i="3"/>
  <c r="G119" i="3"/>
  <c r="K123" i="3"/>
  <c r="O127" i="3"/>
  <c r="D132" i="3"/>
  <c r="H136" i="3"/>
  <c r="L140" i="3"/>
  <c r="P144" i="3"/>
  <c r="E149" i="3"/>
  <c r="I153" i="3"/>
  <c r="M157" i="3"/>
  <c r="B102" i="3"/>
  <c r="Y159" i="3"/>
  <c r="T160" i="3"/>
  <c r="T157" i="3"/>
  <c r="T141" i="3"/>
  <c r="F160" i="3"/>
  <c r="F144" i="3"/>
  <c r="F128" i="3"/>
  <c r="F112" i="3"/>
  <c r="F96" i="3"/>
  <c r="F153" i="3"/>
  <c r="F137" i="3"/>
  <c r="F121" i="3"/>
  <c r="F105" i="3"/>
  <c r="F89" i="3"/>
  <c r="F158" i="3"/>
  <c r="F142" i="3"/>
  <c r="F126" i="3"/>
  <c r="F110" i="3"/>
  <c r="F94" i="3"/>
  <c r="F159" i="3"/>
  <c r="F143" i="3"/>
  <c r="F127" i="3"/>
  <c r="F148" i="3"/>
  <c r="F132" i="3"/>
  <c r="F116" i="3"/>
  <c r="F100" i="3"/>
  <c r="F157" i="3"/>
  <c r="F141" i="3"/>
  <c r="F125" i="3"/>
  <c r="F109" i="3"/>
  <c r="F93" i="3"/>
  <c r="F146" i="3"/>
  <c r="F130" i="3"/>
  <c r="F114" i="3"/>
  <c r="F98" i="3"/>
  <c r="F152" i="3"/>
  <c r="F136" i="3"/>
  <c r="F120" i="3"/>
  <c r="F104" i="3"/>
  <c r="F88" i="3"/>
  <c r="F145" i="3"/>
  <c r="F129" i="3"/>
  <c r="F113" i="3"/>
  <c r="F97" i="3"/>
  <c r="F156" i="3"/>
  <c r="F140" i="3"/>
  <c r="F124" i="3"/>
  <c r="F108" i="3"/>
  <c r="F92" i="3"/>
  <c r="F149" i="3"/>
  <c r="F133" i="3"/>
  <c r="F117" i="3"/>
  <c r="F101" i="3"/>
  <c r="F154" i="3"/>
  <c r="F138" i="3"/>
  <c r="F122" i="3"/>
  <c r="F106" i="3"/>
  <c r="F90" i="3"/>
  <c r="F155" i="3"/>
  <c r="F139" i="3"/>
  <c r="F123" i="3"/>
  <c r="F107" i="3"/>
  <c r="F91" i="3"/>
  <c r="F87" i="3"/>
  <c r="V159" i="3"/>
  <c r="V160" i="3"/>
  <c r="V143" i="3"/>
  <c r="V127" i="3"/>
  <c r="W160" i="3"/>
  <c r="W144" i="3"/>
  <c r="W128" i="3"/>
  <c r="AA88" i="3"/>
  <c r="AB89" i="3"/>
  <c r="AC90" i="3"/>
  <c r="AD91" i="3"/>
  <c r="AE92" i="3"/>
  <c r="AF93" i="3"/>
  <c r="R95" i="3"/>
  <c r="S96" i="3"/>
  <c r="T97" i="3"/>
  <c r="U98" i="3"/>
  <c r="V99" i="3"/>
  <c r="W100" i="3"/>
  <c r="X101" i="3"/>
  <c r="Y102" i="3"/>
  <c r="Z103" i="3"/>
  <c r="AA104" i="3"/>
  <c r="AB105" i="3"/>
  <c r="AC106" i="3"/>
  <c r="AD107" i="3"/>
  <c r="AE108" i="3"/>
  <c r="AF109" i="3"/>
  <c r="R111" i="3"/>
  <c r="S112" i="3"/>
  <c r="T113" i="3"/>
  <c r="AB88" i="3"/>
  <c r="Y89" i="3"/>
  <c r="Z90" i="3"/>
  <c r="W91" i="3"/>
  <c r="X92" i="3"/>
  <c r="Y93" i="3"/>
  <c r="Z94" i="3"/>
  <c r="AA95" i="3"/>
  <c r="AB96" i="3"/>
  <c r="AC97" i="3"/>
  <c r="AD98" i="3"/>
  <c r="AE99" i="3"/>
  <c r="AF100" i="3"/>
  <c r="R102" i="3"/>
  <c r="S103" i="3"/>
  <c r="T104" i="3"/>
  <c r="U105" i="3"/>
  <c r="V106" i="3"/>
  <c r="W107" i="3"/>
  <c r="X108" i="3"/>
  <c r="Y109" i="3"/>
  <c r="Z110" i="3"/>
  <c r="AA111" i="3"/>
  <c r="AB112" i="3"/>
  <c r="AC113" i="3"/>
  <c r="AC88" i="3"/>
  <c r="AD89" i="3"/>
  <c r="AE90" i="3"/>
  <c r="AF91" i="3"/>
  <c r="R93" i="3"/>
  <c r="S94" i="3"/>
  <c r="T95" i="3"/>
  <c r="U96" i="3"/>
  <c r="V97" i="3"/>
  <c r="W98" i="3"/>
  <c r="X99" i="3"/>
  <c r="Y100" i="3"/>
  <c r="Z101" i="3"/>
  <c r="AA102" i="3"/>
  <c r="AB103" i="3"/>
  <c r="AC104" i="3"/>
  <c r="AD105" i="3"/>
  <c r="AE106" i="3"/>
  <c r="AF107" i="3"/>
  <c r="R109" i="3"/>
  <c r="S110" i="3"/>
  <c r="T111" i="3"/>
  <c r="U112" i="3"/>
  <c r="V113" i="3"/>
  <c r="W114" i="3"/>
  <c r="U87" i="3"/>
  <c r="Y87" i="3"/>
  <c r="AC87" i="3"/>
  <c r="R88" i="3"/>
  <c r="S89" i="3"/>
  <c r="T90" i="3"/>
  <c r="U91" i="3"/>
  <c r="V92" i="3"/>
  <c r="W93" i="3"/>
  <c r="X94" i="3"/>
  <c r="Y95" i="3"/>
  <c r="Z96" i="3"/>
  <c r="AA97" i="3"/>
  <c r="AB98" i="3"/>
  <c r="AC99" i="3"/>
  <c r="AD100" i="3"/>
  <c r="AE101" i="3"/>
  <c r="AF102" i="3"/>
  <c r="R104" i="3"/>
  <c r="S105" i="3"/>
  <c r="T106" i="3"/>
  <c r="U107" i="3"/>
  <c r="V108" i="3"/>
  <c r="W109" i="3"/>
  <c r="X110" i="3"/>
  <c r="Y111" i="3"/>
  <c r="Z112" i="3"/>
  <c r="AA113" i="3"/>
  <c r="AD114" i="3"/>
  <c r="AE115" i="3"/>
  <c r="AF116" i="3"/>
  <c r="R118" i="3"/>
  <c r="S119" i="3"/>
  <c r="T120" i="3"/>
  <c r="U121" i="3"/>
  <c r="V122" i="3"/>
  <c r="W123" i="3"/>
  <c r="X124" i="3"/>
  <c r="Y125" i="3"/>
  <c r="Z126" i="3"/>
  <c r="AA127" i="3"/>
  <c r="AB128" i="3"/>
  <c r="AC129" i="3"/>
  <c r="AD130" i="3"/>
  <c r="AE131" i="3"/>
  <c r="AF132" i="3"/>
  <c r="R134" i="3"/>
  <c r="S135" i="3"/>
  <c r="T136" i="3"/>
  <c r="U137" i="3"/>
  <c r="V138" i="3"/>
  <c r="W139" i="3"/>
  <c r="X140" i="3"/>
  <c r="Y141" i="3"/>
  <c r="Z142" i="3"/>
  <c r="AA143" i="3"/>
  <c r="AB144" i="3"/>
  <c r="AC145" i="3"/>
  <c r="AD146" i="3"/>
  <c r="AE147" i="3"/>
  <c r="AF148" i="3"/>
  <c r="R150" i="3"/>
  <c r="S151" i="3"/>
  <c r="T152" i="3"/>
  <c r="U153" i="3"/>
  <c r="V154" i="3"/>
  <c r="W155" i="3"/>
  <c r="X156" i="3"/>
  <c r="Y157" i="3"/>
  <c r="Z158" i="3"/>
  <c r="X115" i="3"/>
  <c r="Y116" i="3"/>
  <c r="Z117" i="3"/>
  <c r="AA118" i="3"/>
  <c r="AB119" i="3"/>
  <c r="AC120" i="3"/>
  <c r="AD121" i="3"/>
  <c r="AE122" i="3"/>
  <c r="AF123" i="3"/>
  <c r="R125" i="3"/>
  <c r="S126" i="3"/>
  <c r="T127" i="3"/>
  <c r="U128" i="3"/>
  <c r="V129" i="3"/>
  <c r="W130" i="3"/>
  <c r="X131" i="3"/>
  <c r="Y132" i="3"/>
  <c r="Z133" i="3"/>
  <c r="AA134" i="3"/>
  <c r="AB135" i="3"/>
  <c r="AC136" i="3"/>
  <c r="AD137" i="3"/>
  <c r="AE138" i="3"/>
  <c r="AF139" i="3"/>
  <c r="R141" i="3"/>
  <c r="S142" i="3"/>
  <c r="T143" i="3"/>
  <c r="U144" i="3"/>
  <c r="V145" i="3"/>
  <c r="W146" i="3"/>
  <c r="X147" i="3"/>
  <c r="Y148" i="3"/>
  <c r="Z149" i="3"/>
  <c r="AA150" i="3"/>
  <c r="AB151" i="3"/>
  <c r="AC152" i="3"/>
  <c r="AD153" i="3"/>
  <c r="AE154" i="3"/>
  <c r="AF155" i="3"/>
  <c r="R157" i="3"/>
  <c r="S158" i="3"/>
  <c r="T159" i="3"/>
  <c r="AF114" i="3"/>
  <c r="R116" i="3"/>
  <c r="S117" i="3"/>
  <c r="T118" i="3"/>
  <c r="U119" i="3"/>
  <c r="V120" i="3"/>
  <c r="W121" i="3"/>
  <c r="X122" i="3"/>
  <c r="Y123" i="3"/>
  <c r="Z124" i="3"/>
  <c r="AA125" i="3"/>
  <c r="AB126" i="3"/>
  <c r="AC127" i="3"/>
  <c r="AD128" i="3"/>
  <c r="AE129" i="3"/>
  <c r="AF130" i="3"/>
  <c r="R132" i="3"/>
  <c r="S133" i="3"/>
  <c r="T134" i="3"/>
  <c r="U135" i="3"/>
  <c r="V136" i="3"/>
  <c r="W137" i="3"/>
  <c r="X138" i="3"/>
  <c r="Y139" i="3"/>
  <c r="Z140" i="3"/>
  <c r="AA141" i="3"/>
  <c r="AB142" i="3"/>
  <c r="AC143" i="3"/>
  <c r="AD144" i="3"/>
  <c r="AE145" i="3"/>
  <c r="AF146" i="3"/>
  <c r="R148" i="3"/>
  <c r="S149" i="3"/>
  <c r="T150" i="3"/>
  <c r="U151" i="3"/>
  <c r="V152" i="3"/>
  <c r="W153" i="3"/>
  <c r="X154" i="3"/>
  <c r="Y155" i="3"/>
  <c r="Z156" i="3"/>
  <c r="AA157" i="3"/>
  <c r="AB158" i="3"/>
  <c r="U114" i="3"/>
  <c r="V115" i="3"/>
  <c r="W116" i="3"/>
  <c r="X117" i="3"/>
  <c r="Y118" i="3"/>
  <c r="Z119" i="3"/>
  <c r="AA120" i="3"/>
  <c r="AB121" i="3"/>
  <c r="AC122" i="3"/>
  <c r="AD123" i="3"/>
  <c r="AE124" i="3"/>
  <c r="AF125" i="3"/>
  <c r="R127" i="3"/>
  <c r="AA128" i="3"/>
  <c r="AF129" i="3"/>
  <c r="V131" i="3"/>
  <c r="AE132" i="3"/>
  <c r="U134" i="3"/>
  <c r="Z135" i="3"/>
  <c r="T137" i="3"/>
  <c r="Y138" i="3"/>
  <c r="AD139" i="3"/>
  <c r="X141" i="3"/>
  <c r="AC142" i="3"/>
  <c r="AB145" i="3"/>
  <c r="R147" i="3"/>
  <c r="W148" i="3"/>
  <c r="AF149" i="3"/>
  <c r="V151" i="3"/>
  <c r="Z155" i="3"/>
  <c r="AE156" i="3"/>
  <c r="AB160" i="3"/>
  <c r="G88" i="3"/>
  <c r="Q90" i="3"/>
  <c r="C92" i="3"/>
  <c r="L93" i="3"/>
  <c r="Q94" i="3"/>
  <c r="G96" i="3"/>
  <c r="P97" i="3"/>
  <c r="F99" i="3"/>
  <c r="K100" i="3"/>
  <c r="E102" i="3"/>
  <c r="J103" i="3"/>
  <c r="O104" i="3"/>
  <c r="I106" i="3"/>
  <c r="N107" i="3"/>
  <c r="D109" i="3"/>
  <c r="M110" i="3"/>
  <c r="C112" i="3"/>
  <c r="H113" i="3"/>
  <c r="F115" i="3"/>
  <c r="H117" i="3"/>
  <c r="J119" i="3"/>
  <c r="L121" i="3"/>
  <c r="N123" i="3"/>
  <c r="P125" i="3"/>
  <c r="C128" i="3"/>
  <c r="E130" i="3"/>
  <c r="G132" i="3"/>
  <c r="I134" i="3"/>
  <c r="K136" i="3"/>
  <c r="M138" i="3"/>
  <c r="O140" i="3"/>
  <c r="Q142" i="3"/>
  <c r="D145" i="3"/>
  <c r="F147" i="3"/>
  <c r="H149" i="3"/>
  <c r="J151" i="3"/>
  <c r="L153" i="3"/>
  <c r="N155" i="3"/>
  <c r="P157" i="3"/>
  <c r="C160" i="3"/>
  <c r="B105" i="3"/>
  <c r="B137" i="3"/>
  <c r="B130" i="3"/>
  <c r="J90" i="3"/>
  <c r="N94" i="3"/>
  <c r="G103" i="3"/>
  <c r="K107" i="3"/>
  <c r="O111" i="3"/>
  <c r="L124" i="3"/>
  <c r="P128" i="3"/>
  <c r="E133" i="3"/>
  <c r="M141" i="3"/>
  <c r="Q145" i="3"/>
  <c r="F150" i="3"/>
  <c r="N158" i="3"/>
  <c r="B148" i="3"/>
  <c r="B124" i="3"/>
  <c r="B108" i="3"/>
  <c r="B92" i="3"/>
  <c r="B152" i="3"/>
  <c r="B131" i="3"/>
  <c r="B115" i="3"/>
  <c r="B99" i="3"/>
  <c r="B143" i="3"/>
  <c r="B134" i="3"/>
  <c r="B110" i="3"/>
  <c r="B94" i="3"/>
  <c r="B147" i="3"/>
  <c r="B138" i="3"/>
  <c r="B157" i="3"/>
  <c r="B141" i="3"/>
  <c r="B125" i="3"/>
  <c r="B109" i="3"/>
  <c r="B93" i="3"/>
  <c r="B136" i="3"/>
  <c r="B120" i="3"/>
  <c r="B104" i="3"/>
  <c r="B88" i="3"/>
  <c r="B144" i="3"/>
  <c r="B127" i="3"/>
  <c r="B111" i="3"/>
  <c r="B95" i="3"/>
  <c r="B156" i="3"/>
  <c r="B158" i="3"/>
  <c r="B126" i="3"/>
  <c r="B106" i="3"/>
  <c r="B90" i="3"/>
  <c r="B132" i="3"/>
  <c r="B116" i="3"/>
  <c r="B100" i="3"/>
  <c r="B151" i="3"/>
  <c r="B123" i="3"/>
  <c r="B107" i="3"/>
  <c r="B91" i="3"/>
  <c r="B128" i="3"/>
  <c r="B112" i="3"/>
  <c r="B96" i="3"/>
  <c r="B139" i="3"/>
  <c r="B119" i="3"/>
  <c r="B103" i="3"/>
  <c r="B155" i="3"/>
  <c r="B142" i="3"/>
  <c r="B114" i="3"/>
  <c r="B98" i="3"/>
  <c r="B159" i="3"/>
  <c r="B146" i="3"/>
  <c r="B87" i="3"/>
  <c r="B145" i="3"/>
  <c r="B129" i="3"/>
  <c r="B113" i="3"/>
  <c r="B97" i="3"/>
  <c r="D158" i="3"/>
  <c r="D142" i="3"/>
  <c r="D126" i="3"/>
  <c r="D110" i="3"/>
  <c r="D94" i="3"/>
  <c r="D151" i="3"/>
  <c r="D135" i="3"/>
  <c r="D119" i="3"/>
  <c r="D103" i="3"/>
  <c r="D87" i="3"/>
  <c r="D156" i="3"/>
  <c r="D140" i="3"/>
  <c r="D124" i="3"/>
  <c r="D108" i="3"/>
  <c r="D92" i="3"/>
  <c r="D157" i="3"/>
  <c r="D141" i="3"/>
  <c r="D125" i="3"/>
  <c r="D146" i="3"/>
  <c r="D130" i="3"/>
  <c r="D114" i="3"/>
  <c r="D98" i="3"/>
  <c r="D155" i="3"/>
  <c r="D139" i="3"/>
  <c r="D123" i="3"/>
  <c r="D107" i="3"/>
  <c r="D91" i="3"/>
  <c r="D160" i="3"/>
  <c r="D144" i="3"/>
  <c r="D128" i="3"/>
  <c r="D112" i="3"/>
  <c r="D96" i="3"/>
  <c r="D150" i="3"/>
  <c r="D134" i="3"/>
  <c r="D118" i="3"/>
  <c r="D102" i="3"/>
  <c r="D159" i="3"/>
  <c r="D143" i="3"/>
  <c r="D127" i="3"/>
  <c r="D111" i="3"/>
  <c r="D95" i="3"/>
  <c r="D154" i="3"/>
  <c r="D138" i="3"/>
  <c r="D122" i="3"/>
  <c r="D106" i="3"/>
  <c r="D90" i="3"/>
  <c r="D147" i="3"/>
  <c r="D131" i="3"/>
  <c r="D115" i="3"/>
  <c r="D99" i="3"/>
  <c r="D152" i="3"/>
  <c r="D136" i="3"/>
  <c r="D120" i="3"/>
  <c r="D104" i="3"/>
  <c r="D88" i="3"/>
  <c r="D153" i="3"/>
  <c r="D137" i="3"/>
  <c r="D121" i="3"/>
  <c r="D105" i="3"/>
  <c r="D89" i="3"/>
  <c r="U159" i="3"/>
  <c r="U158" i="3"/>
  <c r="U142" i="3"/>
  <c r="S160" i="3"/>
  <c r="S156" i="3"/>
  <c r="S140" i="3"/>
  <c r="H146" i="3"/>
  <c r="H130" i="3"/>
  <c r="H114" i="3"/>
  <c r="H98" i="3"/>
  <c r="H155" i="3"/>
  <c r="H139" i="3"/>
  <c r="H123" i="3"/>
  <c r="H107" i="3"/>
  <c r="H91" i="3"/>
  <c r="H160" i="3"/>
  <c r="H144" i="3"/>
  <c r="H128" i="3"/>
  <c r="H112" i="3"/>
  <c r="H96" i="3"/>
  <c r="H145" i="3"/>
  <c r="H129" i="3"/>
  <c r="H150" i="3"/>
  <c r="H134" i="3"/>
  <c r="H118" i="3"/>
  <c r="H102" i="3"/>
  <c r="H159" i="3"/>
  <c r="H143" i="3"/>
  <c r="H127" i="3"/>
  <c r="H111" i="3"/>
  <c r="H95" i="3"/>
  <c r="H87" i="3"/>
  <c r="H148" i="3"/>
  <c r="H132" i="3"/>
  <c r="H116" i="3"/>
  <c r="H100" i="3"/>
  <c r="H88" i="3"/>
  <c r="H154" i="3"/>
  <c r="H138" i="3"/>
  <c r="H122" i="3"/>
  <c r="H106" i="3"/>
  <c r="H90" i="3"/>
  <c r="H147" i="3"/>
  <c r="H131" i="3"/>
  <c r="H115" i="3"/>
  <c r="H99" i="3"/>
  <c r="H158" i="3"/>
  <c r="H142" i="3"/>
  <c r="H126" i="3"/>
  <c r="H110" i="3"/>
  <c r="H94" i="3"/>
  <c r="H151" i="3"/>
  <c r="H135" i="3"/>
  <c r="H119" i="3"/>
  <c r="H103" i="3"/>
  <c r="H156" i="3"/>
  <c r="H140" i="3"/>
  <c r="H124" i="3"/>
  <c r="H108" i="3"/>
  <c r="H92" i="3"/>
  <c r="H157" i="3"/>
  <c r="H141" i="3"/>
  <c r="H125" i="3"/>
  <c r="H109" i="3"/>
  <c r="H93" i="3"/>
  <c r="X145" i="3"/>
  <c r="X129" i="3"/>
  <c r="I147" i="3"/>
  <c r="I131" i="3"/>
  <c r="I115" i="3"/>
  <c r="I99" i="3"/>
  <c r="I156" i="3"/>
  <c r="I140" i="3"/>
  <c r="I124" i="3"/>
  <c r="I108" i="3"/>
  <c r="I92" i="3"/>
  <c r="I145" i="3"/>
  <c r="I129" i="3"/>
  <c r="I113" i="3"/>
  <c r="I97" i="3"/>
  <c r="I146" i="3"/>
  <c r="I130" i="3"/>
  <c r="I114" i="3"/>
  <c r="I151" i="3"/>
  <c r="I135" i="3"/>
  <c r="I119" i="3"/>
  <c r="I103" i="3"/>
  <c r="I160" i="3"/>
  <c r="I144" i="3"/>
  <c r="I128" i="3"/>
  <c r="I112" i="3"/>
  <c r="I96" i="3"/>
  <c r="I149" i="3"/>
  <c r="I133" i="3"/>
  <c r="I117" i="3"/>
  <c r="I101" i="3"/>
  <c r="I155" i="3"/>
  <c r="I139" i="3"/>
  <c r="I123" i="3"/>
  <c r="I107" i="3"/>
  <c r="I91" i="3"/>
  <c r="I87" i="3"/>
  <c r="I148" i="3"/>
  <c r="I132" i="3"/>
  <c r="I116" i="3"/>
  <c r="I100" i="3"/>
  <c r="I159" i="3"/>
  <c r="I143" i="3"/>
  <c r="I127" i="3"/>
  <c r="I111" i="3"/>
  <c r="I95" i="3"/>
  <c r="I152" i="3"/>
  <c r="I136" i="3"/>
  <c r="I120" i="3"/>
  <c r="I104" i="3"/>
  <c r="I88" i="3"/>
  <c r="I157" i="3"/>
  <c r="I141" i="3"/>
  <c r="I125" i="3"/>
  <c r="I109" i="3"/>
  <c r="I93" i="3"/>
  <c r="I158" i="3"/>
  <c r="I142" i="3"/>
  <c r="I126" i="3"/>
  <c r="I110" i="3"/>
  <c r="I94" i="3"/>
  <c r="Y146" i="3"/>
  <c r="Y130" i="3"/>
  <c r="C157" i="3"/>
  <c r="C141" i="3"/>
  <c r="C125" i="3"/>
  <c r="C109" i="3"/>
  <c r="C93" i="3"/>
  <c r="C150" i="3"/>
  <c r="C134" i="3"/>
  <c r="C118" i="3"/>
  <c r="C102" i="3"/>
  <c r="C155" i="3"/>
  <c r="C139" i="3"/>
  <c r="C123" i="3"/>
  <c r="C107" i="3"/>
  <c r="C91" i="3"/>
  <c r="C156" i="3"/>
  <c r="C140" i="3"/>
  <c r="C124" i="3"/>
  <c r="C145" i="3"/>
  <c r="C129" i="3"/>
  <c r="C113" i="3"/>
  <c r="C97" i="3"/>
  <c r="C154" i="3"/>
  <c r="C138" i="3"/>
  <c r="C122" i="3"/>
  <c r="C106" i="3"/>
  <c r="C90" i="3"/>
  <c r="C159" i="3"/>
  <c r="C143" i="3"/>
  <c r="C127" i="3"/>
  <c r="C111" i="3"/>
  <c r="C95" i="3"/>
  <c r="C149" i="3"/>
  <c r="C133" i="3"/>
  <c r="C117" i="3"/>
  <c r="C101" i="3"/>
  <c r="C158" i="3"/>
  <c r="C142" i="3"/>
  <c r="C126" i="3"/>
  <c r="C110" i="3"/>
  <c r="C94" i="3"/>
  <c r="C153" i="3"/>
  <c r="C137" i="3"/>
  <c r="C121" i="3"/>
  <c r="C105" i="3"/>
  <c r="C89" i="3"/>
  <c r="C146" i="3"/>
  <c r="C130" i="3"/>
  <c r="C114" i="3"/>
  <c r="C98" i="3"/>
  <c r="C151" i="3"/>
  <c r="C135" i="3"/>
  <c r="C119" i="3"/>
  <c r="C103" i="3"/>
  <c r="C87" i="3"/>
  <c r="C152" i="3"/>
  <c r="C136" i="3"/>
  <c r="C120" i="3"/>
  <c r="C104" i="3"/>
  <c r="C88" i="3"/>
  <c r="AA160" i="3"/>
  <c r="AA148" i="3"/>
  <c r="AA132" i="3"/>
  <c r="J148" i="3"/>
  <c r="J132" i="3"/>
  <c r="J116" i="3"/>
  <c r="J100" i="3"/>
  <c r="J157" i="3"/>
  <c r="J141" i="3"/>
  <c r="J125" i="3"/>
  <c r="J109" i="3"/>
  <c r="J93" i="3"/>
  <c r="J146" i="3"/>
  <c r="J130" i="3"/>
  <c r="J114" i="3"/>
  <c r="J98" i="3"/>
  <c r="J147" i="3"/>
  <c r="J131" i="3"/>
  <c r="J115" i="3"/>
  <c r="J152" i="3"/>
  <c r="J136" i="3"/>
  <c r="J120" i="3"/>
  <c r="J104" i="3"/>
  <c r="J88" i="3"/>
  <c r="J145" i="3"/>
  <c r="J129" i="3"/>
  <c r="J113" i="3"/>
  <c r="J97" i="3"/>
  <c r="J150" i="3"/>
  <c r="J134" i="3"/>
  <c r="J118" i="3"/>
  <c r="J102" i="3"/>
  <c r="J156" i="3"/>
  <c r="J140" i="3"/>
  <c r="J124" i="3"/>
  <c r="J108" i="3"/>
  <c r="J92" i="3"/>
  <c r="J149" i="3"/>
  <c r="J133" i="3"/>
  <c r="J117" i="3"/>
  <c r="J101" i="3"/>
  <c r="J160" i="3"/>
  <c r="J144" i="3"/>
  <c r="J128" i="3"/>
  <c r="J112" i="3"/>
  <c r="J96" i="3"/>
  <c r="J153" i="3"/>
  <c r="J137" i="3"/>
  <c r="J121" i="3"/>
  <c r="J105" i="3"/>
  <c r="J89" i="3"/>
  <c r="J158" i="3"/>
  <c r="J142" i="3"/>
  <c r="J126" i="3"/>
  <c r="J110" i="3"/>
  <c r="J94" i="3"/>
  <c r="J159" i="3"/>
  <c r="J143" i="3"/>
  <c r="J127" i="3"/>
  <c r="J111" i="3"/>
  <c r="J95" i="3"/>
  <c r="J87" i="3"/>
  <c r="Z159" i="3"/>
  <c r="Z147" i="3"/>
  <c r="Z131" i="3"/>
  <c r="AE88" i="3"/>
  <c r="AF89" i="3"/>
  <c r="R91" i="3"/>
  <c r="S92" i="3"/>
  <c r="T93" i="3"/>
  <c r="U94" i="3"/>
  <c r="V95" i="3"/>
  <c r="W96" i="3"/>
  <c r="X97" i="3"/>
  <c r="Y98" i="3"/>
  <c r="Z99" i="3"/>
  <c r="AA100" i="3"/>
  <c r="AB101" i="3"/>
  <c r="AC102" i="3"/>
  <c r="AD103" i="3"/>
  <c r="AE104" i="3"/>
  <c r="AF105" i="3"/>
  <c r="R107" i="3"/>
  <c r="S108" i="3"/>
  <c r="T109" i="3"/>
  <c r="U110" i="3"/>
  <c r="V111" i="3"/>
  <c r="W112" i="3"/>
  <c r="S87" i="3"/>
  <c r="W87" i="3"/>
  <c r="AA87" i="3"/>
  <c r="AE87" i="3"/>
  <c r="T88" i="3"/>
  <c r="AF88" i="3"/>
  <c r="AC89" i="3"/>
  <c r="AD90" i="3"/>
  <c r="AA91" i="3"/>
  <c r="AB92" i="3"/>
  <c r="AC93" i="3"/>
  <c r="AD94" i="3"/>
  <c r="AE95" i="3"/>
  <c r="AF96" i="3"/>
  <c r="R98" i="3"/>
  <c r="S99" i="3"/>
  <c r="T100" i="3"/>
  <c r="U101" i="3"/>
  <c r="V102" i="3"/>
  <c r="W103" i="3"/>
  <c r="X104" i="3"/>
  <c r="Y105" i="3"/>
  <c r="Z106" i="3"/>
  <c r="AA107" i="3"/>
  <c r="AB108" i="3"/>
  <c r="AC109" i="3"/>
  <c r="AD110" i="3"/>
  <c r="AE111" i="3"/>
  <c r="AF112" i="3"/>
  <c r="R114" i="3"/>
  <c r="R89" i="3"/>
  <c r="S90" i="3"/>
  <c r="T91" i="3"/>
  <c r="U92" i="3"/>
  <c r="V93" i="3"/>
  <c r="W94" i="3"/>
  <c r="X95" i="3"/>
  <c r="Y96" i="3"/>
  <c r="Z97" i="3"/>
  <c r="AA98" i="3"/>
  <c r="AB99" i="3"/>
  <c r="AC100" i="3"/>
  <c r="AD101" i="3"/>
  <c r="AE102" i="3"/>
  <c r="AF103" i="3"/>
  <c r="R105" i="3"/>
  <c r="S106" i="3"/>
  <c r="T107" i="3"/>
  <c r="U108" i="3"/>
  <c r="V109" i="3"/>
  <c r="W110" i="3"/>
  <c r="X111" i="3"/>
  <c r="Y112" i="3"/>
  <c r="Z113" i="3"/>
  <c r="AA114" i="3"/>
  <c r="V88" i="3"/>
  <c r="W89" i="3"/>
  <c r="X90" i="3"/>
  <c r="Y91" i="3"/>
  <c r="Z92" i="3"/>
  <c r="AA93" i="3"/>
  <c r="AB94" i="3"/>
  <c r="AC95" i="3"/>
  <c r="AD96" i="3"/>
  <c r="AE97" i="3"/>
  <c r="AF98" i="3"/>
  <c r="R100" i="3"/>
  <c r="S101" i="3"/>
  <c r="T102" i="3"/>
  <c r="U103" i="3"/>
  <c r="V104" i="3"/>
  <c r="W105" i="3"/>
  <c r="X106" i="3"/>
  <c r="Y107" i="3"/>
  <c r="Z108" i="3"/>
  <c r="AA109" i="3"/>
  <c r="AB110" i="3"/>
  <c r="AC111" i="3"/>
  <c r="AD112" i="3"/>
  <c r="AE113" i="3"/>
  <c r="S115" i="3"/>
  <c r="T116" i="3"/>
  <c r="U117" i="3"/>
  <c r="V118" i="3"/>
  <c r="W119" i="3"/>
  <c r="X120" i="3"/>
  <c r="Y121" i="3"/>
  <c r="Z122" i="3"/>
  <c r="AA123" i="3"/>
  <c r="AB124" i="3"/>
  <c r="AC125" i="3"/>
  <c r="AD126" i="3"/>
  <c r="AE127" i="3"/>
  <c r="AF128" i="3"/>
  <c r="R130" i="3"/>
  <c r="S131" i="3"/>
  <c r="T132" i="3"/>
  <c r="U133" i="3"/>
  <c r="V134" i="3"/>
  <c r="W135" i="3"/>
  <c r="X136" i="3"/>
  <c r="Y137" i="3"/>
  <c r="Z138" i="3"/>
  <c r="AA139" i="3"/>
  <c r="AB140" i="3"/>
  <c r="AC141" i="3"/>
  <c r="AD142" i="3"/>
  <c r="AE143" i="3"/>
  <c r="AF144" i="3"/>
  <c r="R146" i="3"/>
  <c r="S147" i="3"/>
  <c r="T148" i="3"/>
  <c r="U149" i="3"/>
  <c r="V150" i="3"/>
  <c r="W151" i="3"/>
  <c r="X152" i="3"/>
  <c r="Y153" i="3"/>
  <c r="Z154" i="3"/>
  <c r="AA155" i="3"/>
  <c r="AB156" i="3"/>
  <c r="AC157" i="3"/>
  <c r="AD158" i="3"/>
  <c r="AB115" i="3"/>
  <c r="AC116" i="3"/>
  <c r="AD117" i="3"/>
  <c r="AE118" i="3"/>
  <c r="AF119" i="3"/>
  <c r="R121" i="3"/>
  <c r="S122" i="3"/>
  <c r="T123" i="3"/>
  <c r="U124" i="3"/>
  <c r="V125" i="3"/>
  <c r="W126" i="3"/>
  <c r="X127" i="3"/>
  <c r="Y128" i="3"/>
  <c r="Z129" i="3"/>
  <c r="AA130" i="3"/>
  <c r="AB131" i="3"/>
  <c r="AC132" i="3"/>
  <c r="AD133" i="3"/>
  <c r="AE134" i="3"/>
  <c r="AF135" i="3"/>
  <c r="R137" i="3"/>
  <c r="S138" i="3"/>
  <c r="T139" i="3"/>
  <c r="U140" i="3"/>
  <c r="V141" i="3"/>
  <c r="W142" i="3"/>
  <c r="X143" i="3"/>
  <c r="Y144" i="3"/>
  <c r="Z145" i="3"/>
  <c r="AA146" i="3"/>
  <c r="AB147" i="3"/>
  <c r="AC148" i="3"/>
  <c r="AD149" i="3"/>
  <c r="AE150" i="3"/>
  <c r="AF151" i="3"/>
  <c r="R153" i="3"/>
  <c r="S154" i="3"/>
  <c r="T155" i="3"/>
  <c r="U156" i="3"/>
  <c r="V157" i="3"/>
  <c r="W158" i="3"/>
  <c r="T114" i="3"/>
  <c r="U115" i="3"/>
  <c r="V116" i="3"/>
  <c r="W117" i="3"/>
  <c r="X118" i="3"/>
  <c r="Y119" i="3"/>
  <c r="Z120" i="3"/>
  <c r="AA121" i="3"/>
  <c r="AB122" i="3"/>
  <c r="AC123" i="3"/>
  <c r="AD124" i="3"/>
  <c r="AE125" i="3"/>
  <c r="AF126" i="3"/>
  <c r="R128" i="3"/>
  <c r="S129" i="3"/>
  <c r="T130" i="3"/>
  <c r="U131" i="3"/>
  <c r="V132" i="3"/>
  <c r="W133" i="3"/>
  <c r="X134" i="3"/>
  <c r="Y135" i="3"/>
  <c r="Z136" i="3"/>
  <c r="AA137" i="3"/>
  <c r="AB138" i="3"/>
  <c r="AC139" i="3"/>
  <c r="AD140" i="3"/>
  <c r="AE141" i="3"/>
  <c r="AF142" i="3"/>
  <c r="R144" i="3"/>
  <c r="S145" i="3"/>
  <c r="T146" i="3"/>
  <c r="U147" i="3"/>
  <c r="V148" i="3"/>
  <c r="W149" i="3"/>
  <c r="X150" i="3"/>
  <c r="Y151" i="3"/>
  <c r="Z152" i="3"/>
  <c r="AA153" i="3"/>
  <c r="AB154" i="3"/>
  <c r="AC155" i="3"/>
  <c r="AD156" i="3"/>
  <c r="AE157" i="3"/>
  <c r="X113" i="3"/>
  <c r="Y114" i="3"/>
  <c r="Z115" i="3"/>
  <c r="AA116" i="3"/>
  <c r="AB117" i="3"/>
  <c r="AC118" i="3"/>
  <c r="AD119" i="3"/>
  <c r="AE120" i="3"/>
  <c r="AF121" i="3"/>
  <c r="R123" i="3"/>
  <c r="S124" i="3"/>
  <c r="T125" i="3"/>
  <c r="U126" i="3"/>
  <c r="Z127" i="3"/>
  <c r="AE128" i="3"/>
  <c r="U130" i="3"/>
  <c r="AD131" i="3"/>
  <c r="T133" i="3"/>
  <c r="Y134" i="3"/>
  <c r="S136" i="3"/>
  <c r="X137" i="3"/>
  <c r="AC138" i="3"/>
  <c r="W140" i="3"/>
  <c r="AB141" i="3"/>
  <c r="R143" i="3"/>
  <c r="AA144" i="3"/>
  <c r="AF145" i="3"/>
  <c r="V147" i="3"/>
  <c r="AE148" i="3"/>
  <c r="U150" i="3"/>
  <c r="Z151" i="3"/>
  <c r="T153" i="3"/>
  <c r="Y154" i="3"/>
  <c r="AD155" i="3"/>
  <c r="X157" i="3"/>
  <c r="AA159" i="3"/>
  <c r="AF160" i="3"/>
  <c r="H89" i="3"/>
  <c r="I90" i="3"/>
  <c r="K92" i="3"/>
  <c r="P93" i="3"/>
  <c r="F95" i="3"/>
  <c r="O96" i="3"/>
  <c r="E98" i="3"/>
  <c r="J99" i="3"/>
  <c r="D101" i="3"/>
  <c r="I102" i="3"/>
  <c r="N103" i="3"/>
  <c r="H105" i="3"/>
  <c r="M106" i="3"/>
  <c r="C108" i="3"/>
  <c r="L109" i="3"/>
  <c r="Q110" i="3"/>
  <c r="G112" i="3"/>
  <c r="P113" i="3"/>
  <c r="C116" i="3"/>
  <c r="E118" i="3"/>
  <c r="G120" i="3"/>
  <c r="I122" i="3"/>
  <c r="K124" i="3"/>
  <c r="M126" i="3"/>
  <c r="O128" i="3"/>
  <c r="Q130" i="3"/>
  <c r="D133" i="3"/>
  <c r="F135" i="3"/>
  <c r="H137" i="3"/>
  <c r="J139" i="3"/>
  <c r="L141" i="3"/>
  <c r="N143" i="3"/>
  <c r="P145" i="3"/>
  <c r="C148" i="3"/>
  <c r="E150" i="3"/>
  <c r="G152" i="3"/>
  <c r="I154" i="3"/>
  <c r="K156" i="3"/>
  <c r="M158" i="3"/>
  <c r="O160" i="3"/>
  <c r="B117" i="3"/>
  <c r="B149" i="3"/>
  <c r="B154" i="3"/>
  <c r="U160" i="3"/>
  <c r="K91" i="3"/>
  <c r="O95" i="3"/>
  <c r="D100" i="3"/>
  <c r="H104" i="3"/>
  <c r="L108" i="3"/>
  <c r="P112" i="3"/>
  <c r="E117" i="3"/>
  <c r="I121" i="3"/>
  <c r="M125" i="3"/>
  <c r="Q129" i="3"/>
  <c r="F134" i="3"/>
  <c r="J138" i="3"/>
  <c r="N142" i="3"/>
  <c r="C147" i="3"/>
  <c r="G151" i="3"/>
  <c r="K155" i="3"/>
  <c r="O159" i="3"/>
  <c r="B150" i="3"/>
  <c r="L87" i="3"/>
  <c r="L14" i="5" s="1"/>
  <c r="S21" i="5" l="1"/>
  <c r="I11" i="5"/>
  <c r="AE33" i="5"/>
  <c r="J12" i="5"/>
  <c r="Q19" i="5"/>
  <c r="AD32" i="5"/>
  <c r="E7" i="5"/>
  <c r="C5" i="5"/>
  <c r="AA29" i="5"/>
  <c r="H10" i="5"/>
  <c r="D6" i="5"/>
  <c r="B4" i="5" a="1"/>
  <c r="B4" i="5" s="1"/>
  <c r="B37" i="5" a="1"/>
  <c r="AC31" i="5"/>
  <c r="F8" i="5"/>
  <c r="G9" i="5"/>
  <c r="AB30" i="5"/>
  <c r="K13" i="5"/>
  <c r="W25" i="5"/>
  <c r="Y27" i="5"/>
  <c r="X26" i="5"/>
  <c r="V24" i="5"/>
  <c r="N16" i="5"/>
  <c r="M15" i="5"/>
  <c r="U23" i="5"/>
  <c r="O17" i="5"/>
  <c r="P18" i="5"/>
  <c r="T22" i="5"/>
  <c r="R20" i="5"/>
  <c r="B37" i="5" l="1"/>
  <c r="I37" i="5"/>
  <c r="Q37" i="5"/>
  <c r="Y37" i="5"/>
  <c r="C38" i="5"/>
  <c r="K38" i="5"/>
  <c r="S38" i="5"/>
  <c r="AA38" i="5"/>
  <c r="E39" i="5"/>
  <c r="M39" i="5"/>
  <c r="U39" i="5"/>
  <c r="AC39" i="5"/>
  <c r="G40" i="5"/>
  <c r="O40" i="5"/>
  <c r="W40" i="5"/>
  <c r="AE40" i="5"/>
  <c r="I41" i="5"/>
  <c r="Q41" i="5"/>
  <c r="Y41" i="5"/>
  <c r="C42" i="5"/>
  <c r="K42" i="5"/>
  <c r="S42" i="5"/>
  <c r="AA42" i="5"/>
  <c r="E43" i="5"/>
  <c r="M43" i="5"/>
  <c r="U43" i="5"/>
  <c r="AC43" i="5"/>
  <c r="G44" i="5"/>
  <c r="O44" i="5"/>
  <c r="W44" i="5"/>
  <c r="AE44" i="5"/>
  <c r="I45" i="5"/>
  <c r="Q45" i="5"/>
  <c r="Y45" i="5"/>
  <c r="C46" i="5"/>
  <c r="K46" i="5"/>
  <c r="S46" i="5"/>
  <c r="AA46" i="5"/>
  <c r="E47" i="5"/>
  <c r="M47" i="5"/>
  <c r="U47" i="5"/>
  <c r="AC47" i="5"/>
  <c r="D48" i="5"/>
  <c r="J48" i="5"/>
  <c r="N48" i="5"/>
  <c r="R48" i="5"/>
  <c r="V48" i="5"/>
  <c r="Z48" i="5"/>
  <c r="AD48" i="5"/>
  <c r="D49" i="5"/>
  <c r="H49" i="5"/>
  <c r="L49" i="5"/>
  <c r="P49" i="5"/>
  <c r="T49" i="5"/>
  <c r="X49" i="5"/>
  <c r="AB49" i="5"/>
  <c r="B50" i="5"/>
  <c r="F50" i="5"/>
  <c r="J50" i="5"/>
  <c r="N50" i="5"/>
  <c r="R50" i="5"/>
  <c r="V50" i="5"/>
  <c r="Z50" i="5"/>
  <c r="AD50" i="5"/>
  <c r="D51" i="5"/>
  <c r="H51" i="5"/>
  <c r="L51" i="5"/>
  <c r="P51" i="5"/>
  <c r="T51" i="5"/>
  <c r="X51" i="5"/>
  <c r="AB51" i="5"/>
  <c r="B52" i="5"/>
  <c r="F52" i="5"/>
  <c r="J52" i="5"/>
  <c r="N52" i="5"/>
  <c r="R52" i="5"/>
  <c r="V52" i="5"/>
  <c r="Z52" i="5"/>
  <c r="AD52" i="5"/>
  <c r="D53" i="5"/>
  <c r="H53" i="5"/>
  <c r="L53" i="5"/>
  <c r="P53" i="5"/>
  <c r="T53" i="5"/>
  <c r="X53" i="5"/>
  <c r="E37" i="5"/>
  <c r="P37" i="5"/>
  <c r="AB37" i="5"/>
  <c r="G38" i="5"/>
  <c r="R38" i="5"/>
  <c r="AD38" i="5"/>
  <c r="I39" i="5"/>
  <c r="T39" i="5"/>
  <c r="B40" i="5"/>
  <c r="K40" i="5"/>
  <c r="V40" i="5"/>
  <c r="D41" i="5"/>
  <c r="M41" i="5"/>
  <c r="X41" i="5"/>
  <c r="F42" i="5"/>
  <c r="O42" i="5"/>
  <c r="Z42" i="5"/>
  <c r="H43" i="5"/>
  <c r="Q43" i="5"/>
  <c r="AB43" i="5"/>
  <c r="J44" i="5"/>
  <c r="S44" i="5"/>
  <c r="AD44" i="5"/>
  <c r="L45" i="5"/>
  <c r="U45" i="5"/>
  <c r="B46" i="5"/>
  <c r="N46" i="5"/>
  <c r="W46" i="5"/>
  <c r="D47" i="5"/>
  <c r="P47" i="5"/>
  <c r="Y47" i="5"/>
  <c r="C48" i="5"/>
  <c r="K48" i="5"/>
  <c r="P48" i="5"/>
  <c r="U48" i="5"/>
  <c r="AA48" i="5"/>
  <c r="B49" i="5"/>
  <c r="G49" i="5"/>
  <c r="M49" i="5"/>
  <c r="R49" i="5"/>
  <c r="W49" i="5"/>
  <c r="AC49" i="5"/>
  <c r="D50" i="5"/>
  <c r="I50" i="5"/>
  <c r="O50" i="5"/>
  <c r="T50" i="5"/>
  <c r="Y50" i="5"/>
  <c r="AE50" i="5"/>
  <c r="F51" i="5"/>
  <c r="K51" i="5"/>
  <c r="Q51" i="5"/>
  <c r="V51" i="5"/>
  <c r="AA51" i="5"/>
  <c r="C52" i="5"/>
  <c r="H52" i="5"/>
  <c r="M52" i="5"/>
  <c r="S52" i="5"/>
  <c r="X52" i="5"/>
  <c r="AC52" i="5"/>
  <c r="E53" i="5"/>
  <c r="J53" i="5"/>
  <c r="O53" i="5"/>
  <c r="U53" i="5"/>
  <c r="Z53" i="5"/>
  <c r="AD53" i="5"/>
  <c r="D54" i="5"/>
  <c r="H54" i="5"/>
  <c r="L54" i="5"/>
  <c r="P54" i="5"/>
  <c r="T54" i="5"/>
  <c r="X54" i="5"/>
  <c r="AB54" i="5"/>
  <c r="B55" i="5"/>
  <c r="F55" i="5"/>
  <c r="J55" i="5"/>
  <c r="N55" i="5"/>
  <c r="R55" i="5"/>
  <c r="V55" i="5"/>
  <c r="Z55" i="5"/>
  <c r="AD55" i="5"/>
  <c r="D56" i="5"/>
  <c r="H56" i="5"/>
  <c r="L56" i="5"/>
  <c r="P56" i="5"/>
  <c r="T56" i="5"/>
  <c r="X56" i="5"/>
  <c r="AB56" i="5"/>
  <c r="B57" i="5"/>
  <c r="F57" i="5"/>
  <c r="J57" i="5"/>
  <c r="N57" i="5"/>
  <c r="R57" i="5"/>
  <c r="V57" i="5"/>
  <c r="Z57" i="5"/>
  <c r="AD57" i="5"/>
  <c r="D58" i="5"/>
  <c r="H58" i="5"/>
  <c r="L58" i="5"/>
  <c r="P58" i="5"/>
  <c r="T58" i="5"/>
  <c r="X58" i="5"/>
  <c r="AB58" i="5"/>
  <c r="B59" i="5"/>
  <c r="F59" i="5"/>
  <c r="J59" i="5"/>
  <c r="N59" i="5"/>
  <c r="R59" i="5"/>
  <c r="V59" i="5"/>
  <c r="Z59" i="5"/>
  <c r="AD59" i="5"/>
  <c r="D60" i="5"/>
  <c r="H60" i="5"/>
  <c r="L60" i="5"/>
  <c r="P60" i="5"/>
  <c r="T60" i="5"/>
  <c r="X60" i="5"/>
  <c r="AB60" i="5"/>
  <c r="B61" i="5"/>
  <c r="F61" i="5"/>
  <c r="J61" i="5"/>
  <c r="N61" i="5"/>
  <c r="R61" i="5"/>
  <c r="V61" i="5"/>
  <c r="Z61" i="5"/>
  <c r="H37" i="5"/>
  <c r="T37" i="5"/>
  <c r="AC37" i="5"/>
  <c r="J38" i="5"/>
  <c r="V38" i="5"/>
  <c r="AE38" i="5"/>
  <c r="L39" i="5"/>
  <c r="X39" i="5"/>
  <c r="C40" i="5"/>
  <c r="N40" i="5"/>
  <c r="Z40" i="5"/>
  <c r="E41" i="5"/>
  <c r="P41" i="5"/>
  <c r="AB41" i="5"/>
  <c r="G42" i="5"/>
  <c r="R42" i="5"/>
  <c r="AD42" i="5"/>
  <c r="I43" i="5"/>
  <c r="T43" i="5"/>
  <c r="B44" i="5"/>
  <c r="K44" i="5"/>
  <c r="V44" i="5"/>
  <c r="D45" i="5"/>
  <c r="M45" i="5"/>
  <c r="X45" i="5"/>
  <c r="F46" i="5"/>
  <c r="O46" i="5"/>
  <c r="Z46" i="5"/>
  <c r="H47" i="5"/>
  <c r="Q47" i="5"/>
  <c r="AB47" i="5"/>
  <c r="F48" i="5"/>
  <c r="L48" i="5"/>
  <c r="Q48" i="5"/>
  <c r="W48" i="5"/>
  <c r="AB48" i="5"/>
  <c r="C49" i="5"/>
  <c r="I49" i="5"/>
  <c r="N49" i="5"/>
  <c r="S49" i="5"/>
  <c r="Y49" i="5"/>
  <c r="AD49" i="5"/>
  <c r="E50" i="5"/>
  <c r="K50" i="5"/>
  <c r="P50" i="5"/>
  <c r="U50" i="5"/>
  <c r="AA50" i="5"/>
  <c r="B51" i="5"/>
  <c r="G51" i="5"/>
  <c r="M51" i="5"/>
  <c r="R51" i="5"/>
  <c r="W51" i="5"/>
  <c r="AC51" i="5"/>
  <c r="D52" i="5"/>
  <c r="I52" i="5"/>
  <c r="O52" i="5"/>
  <c r="T52" i="5"/>
  <c r="Y52" i="5"/>
  <c r="AE52" i="5"/>
  <c r="F53" i="5"/>
  <c r="K53" i="5"/>
  <c r="Q53" i="5"/>
  <c r="V53" i="5"/>
  <c r="AA53" i="5"/>
  <c r="AE53" i="5"/>
  <c r="E54" i="5"/>
  <c r="I54" i="5"/>
  <c r="M54" i="5"/>
  <c r="Q54" i="5"/>
  <c r="U54" i="5"/>
  <c r="Y54" i="5"/>
  <c r="AC54" i="5"/>
  <c r="C55" i="5"/>
  <c r="G55" i="5"/>
  <c r="L37" i="5"/>
  <c r="U37" i="5"/>
  <c r="B38" i="5"/>
  <c r="N38" i="5"/>
  <c r="W38" i="5"/>
  <c r="D39" i="5"/>
  <c r="P39" i="5"/>
  <c r="Y39" i="5"/>
  <c r="F40" i="5"/>
  <c r="R40" i="5"/>
  <c r="AA40" i="5"/>
  <c r="H41" i="5"/>
  <c r="T41" i="5"/>
  <c r="AC41" i="5"/>
  <c r="J42" i="5"/>
  <c r="V42" i="5"/>
  <c r="AE42" i="5"/>
  <c r="L43" i="5"/>
  <c r="X43" i="5"/>
  <c r="C44" i="5"/>
  <c r="N44" i="5"/>
  <c r="Z44" i="5"/>
  <c r="E45" i="5"/>
  <c r="P45" i="5"/>
  <c r="AB45" i="5"/>
  <c r="G46" i="5"/>
  <c r="R46" i="5"/>
  <c r="AD46" i="5"/>
  <c r="I47" i="5"/>
  <c r="T47" i="5"/>
  <c r="AD47" i="5"/>
  <c r="G48" i="5"/>
  <c r="M48" i="5"/>
  <c r="S48" i="5"/>
  <c r="X48" i="5"/>
  <c r="AC48" i="5"/>
  <c r="E49" i="5"/>
  <c r="J49" i="5"/>
  <c r="O49" i="5"/>
  <c r="U49" i="5"/>
  <c r="Z49" i="5"/>
  <c r="AE49" i="5"/>
  <c r="G50" i="5"/>
  <c r="L50" i="5"/>
  <c r="Q50" i="5"/>
  <c r="W50" i="5"/>
  <c r="AB50" i="5"/>
  <c r="C51" i="5"/>
  <c r="I51" i="5"/>
  <c r="N51" i="5"/>
  <c r="S51" i="5"/>
  <c r="Y51" i="5"/>
  <c r="AD51" i="5"/>
  <c r="E52" i="5"/>
  <c r="K52" i="5"/>
  <c r="P52" i="5"/>
  <c r="U52" i="5"/>
  <c r="AA52" i="5"/>
  <c r="B53" i="5"/>
  <c r="G53" i="5"/>
  <c r="M53" i="5"/>
  <c r="R53" i="5"/>
  <c r="W53" i="5"/>
  <c r="AB53" i="5"/>
  <c r="B54" i="5"/>
  <c r="F54" i="5"/>
  <c r="J54" i="5"/>
  <c r="N54" i="5"/>
  <c r="R54" i="5"/>
  <c r="V54" i="5"/>
  <c r="Z54" i="5"/>
  <c r="AD54" i="5"/>
  <c r="D55" i="5"/>
  <c r="H55" i="5"/>
  <c r="L55" i="5"/>
  <c r="P55" i="5"/>
  <c r="T55" i="5"/>
  <c r="X55" i="5"/>
  <c r="AB55" i="5"/>
  <c r="B56" i="5"/>
  <c r="F56" i="5"/>
  <c r="J56" i="5"/>
  <c r="N56" i="5"/>
  <c r="R56" i="5"/>
  <c r="V56" i="5"/>
  <c r="M37" i="5"/>
  <c r="X37" i="5"/>
  <c r="F38" i="5"/>
  <c r="O38" i="5"/>
  <c r="Z38" i="5"/>
  <c r="H39" i="5"/>
  <c r="Q39" i="5"/>
  <c r="AB39" i="5"/>
  <c r="J40" i="5"/>
  <c r="S40" i="5"/>
  <c r="AD40" i="5"/>
  <c r="L41" i="5"/>
  <c r="U41" i="5"/>
  <c r="B42" i="5"/>
  <c r="N42" i="5"/>
  <c r="W42" i="5"/>
  <c r="D43" i="5"/>
  <c r="P43" i="5"/>
  <c r="Y43" i="5"/>
  <c r="F44" i="5"/>
  <c r="R44" i="5"/>
  <c r="AA44" i="5"/>
  <c r="H45" i="5"/>
  <c r="T45" i="5"/>
  <c r="AC45" i="5"/>
  <c r="J46" i="5"/>
  <c r="V46" i="5"/>
  <c r="AE46" i="5"/>
  <c r="L47" i="5"/>
  <c r="X47" i="5"/>
  <c r="B48" i="5"/>
  <c r="H48" i="5"/>
  <c r="O48" i="5"/>
  <c r="T48" i="5"/>
  <c r="Y48" i="5"/>
  <c r="AE48" i="5"/>
  <c r="F49" i="5"/>
  <c r="K49" i="5"/>
  <c r="Q49" i="5"/>
  <c r="V49" i="5"/>
  <c r="AA49" i="5"/>
  <c r="C50" i="5"/>
  <c r="H50" i="5"/>
  <c r="M50" i="5"/>
  <c r="S50" i="5"/>
  <c r="X50" i="5"/>
  <c r="AC50" i="5"/>
  <c r="E51" i="5"/>
  <c r="J51" i="5"/>
  <c r="O51" i="5"/>
  <c r="U51" i="5"/>
  <c r="Z51" i="5"/>
  <c r="AE51" i="5"/>
  <c r="G52" i="5"/>
  <c r="L52" i="5"/>
  <c r="Q52" i="5"/>
  <c r="W52" i="5"/>
  <c r="AB52" i="5"/>
  <c r="C53" i="5"/>
  <c r="I53" i="5"/>
  <c r="N53" i="5"/>
  <c r="S53" i="5"/>
  <c r="Y53" i="5"/>
  <c r="AC53" i="5"/>
  <c r="C54" i="5"/>
  <c r="G54" i="5"/>
  <c r="W54" i="5"/>
  <c r="I55" i="5"/>
  <c r="Q55" i="5"/>
  <c r="Y55" i="5"/>
  <c r="C56" i="5"/>
  <c r="K56" i="5"/>
  <c r="S56" i="5"/>
  <c r="Z56" i="5"/>
  <c r="AE56" i="5"/>
  <c r="G57" i="5"/>
  <c r="L57" i="5"/>
  <c r="Q57" i="5"/>
  <c r="W57" i="5"/>
  <c r="AB57" i="5"/>
  <c r="C58" i="5"/>
  <c r="I58" i="5"/>
  <c r="N58" i="5"/>
  <c r="S58" i="5"/>
  <c r="Y58" i="5"/>
  <c r="AD58" i="5"/>
  <c r="E59" i="5"/>
  <c r="K59" i="5"/>
  <c r="P59" i="5"/>
  <c r="U59" i="5"/>
  <c r="AA59" i="5"/>
  <c r="B60" i="5"/>
  <c r="G60" i="5"/>
  <c r="M60" i="5"/>
  <c r="R60" i="5"/>
  <c r="W60" i="5"/>
  <c r="AC60" i="5"/>
  <c r="D61" i="5"/>
  <c r="I61" i="5"/>
  <c r="O61" i="5"/>
  <c r="T61" i="5"/>
  <c r="Y61" i="5"/>
  <c r="AD61" i="5"/>
  <c r="D62" i="5"/>
  <c r="H62" i="5"/>
  <c r="L62" i="5"/>
  <c r="P62" i="5"/>
  <c r="T62" i="5"/>
  <c r="X62" i="5"/>
  <c r="AB62" i="5"/>
  <c r="B63" i="5"/>
  <c r="F63" i="5"/>
  <c r="J63" i="5"/>
  <c r="N63" i="5"/>
  <c r="R63" i="5"/>
  <c r="V63" i="5"/>
  <c r="Z63" i="5"/>
  <c r="AD63" i="5"/>
  <c r="D64" i="5"/>
  <c r="H64" i="5"/>
  <c r="L64" i="5"/>
  <c r="P64" i="5"/>
  <c r="T64" i="5"/>
  <c r="X64" i="5"/>
  <c r="AB64" i="5"/>
  <c r="B65" i="5"/>
  <c r="F65" i="5"/>
  <c r="J65" i="5"/>
  <c r="N65" i="5"/>
  <c r="R65" i="5"/>
  <c r="V65" i="5"/>
  <c r="Z65" i="5"/>
  <c r="AD65" i="5"/>
  <c r="D66" i="5"/>
  <c r="H66" i="5"/>
  <c r="L66" i="5"/>
  <c r="P66" i="5"/>
  <c r="T66" i="5"/>
  <c r="X66" i="5"/>
  <c r="AB66" i="5"/>
  <c r="K54" i="5"/>
  <c r="AA54" i="5"/>
  <c r="K55" i="5"/>
  <c r="S55" i="5"/>
  <c r="AA55" i="5"/>
  <c r="E56" i="5"/>
  <c r="M56" i="5"/>
  <c r="U56" i="5"/>
  <c r="AA56" i="5"/>
  <c r="C57" i="5"/>
  <c r="H57" i="5"/>
  <c r="M57" i="5"/>
  <c r="S57" i="5"/>
  <c r="X57" i="5"/>
  <c r="AC57" i="5"/>
  <c r="E58" i="5"/>
  <c r="J58" i="5"/>
  <c r="O58" i="5"/>
  <c r="U58" i="5"/>
  <c r="Z58" i="5"/>
  <c r="AE58" i="5"/>
  <c r="G59" i="5"/>
  <c r="L59" i="5"/>
  <c r="Q59" i="5"/>
  <c r="W59" i="5"/>
  <c r="AB59" i="5"/>
  <c r="C60" i="5"/>
  <c r="I60" i="5"/>
  <c r="N60" i="5"/>
  <c r="S60" i="5"/>
  <c r="Y60" i="5"/>
  <c r="AD60" i="5"/>
  <c r="E61" i="5"/>
  <c r="K61" i="5"/>
  <c r="P61" i="5"/>
  <c r="U61" i="5"/>
  <c r="AA61" i="5"/>
  <c r="AE61" i="5"/>
  <c r="E62" i="5"/>
  <c r="I62" i="5"/>
  <c r="M62" i="5"/>
  <c r="Q62" i="5"/>
  <c r="U62" i="5"/>
  <c r="Y62" i="5"/>
  <c r="AC62" i="5"/>
  <c r="C63" i="5"/>
  <c r="G63" i="5"/>
  <c r="K63" i="5"/>
  <c r="O63" i="5"/>
  <c r="S63" i="5"/>
  <c r="W63" i="5"/>
  <c r="AA63" i="5"/>
  <c r="AE63" i="5"/>
  <c r="E64" i="5"/>
  <c r="I64" i="5"/>
  <c r="M64" i="5"/>
  <c r="Q64" i="5"/>
  <c r="U64" i="5"/>
  <c r="Y64" i="5"/>
  <c r="AC64" i="5"/>
  <c r="C65" i="5"/>
  <c r="G65" i="5"/>
  <c r="K65" i="5"/>
  <c r="O65" i="5"/>
  <c r="S65" i="5"/>
  <c r="W65" i="5"/>
  <c r="AA65" i="5"/>
  <c r="AE65" i="5"/>
  <c r="E66" i="5"/>
  <c r="I66" i="5"/>
  <c r="M66" i="5"/>
  <c r="Q66" i="5"/>
  <c r="U66" i="5"/>
  <c r="Y66" i="5"/>
  <c r="AC66" i="5"/>
  <c r="O54" i="5"/>
  <c r="AE54" i="5"/>
  <c r="M55" i="5"/>
  <c r="U55" i="5"/>
  <c r="AC55" i="5"/>
  <c r="G56" i="5"/>
  <c r="O56" i="5"/>
  <c r="W56" i="5"/>
  <c r="AC56" i="5"/>
  <c r="D57" i="5"/>
  <c r="I57" i="5"/>
  <c r="O57" i="5"/>
  <c r="T57" i="5"/>
  <c r="Y57" i="5"/>
  <c r="AE57" i="5"/>
  <c r="F58" i="5"/>
  <c r="K58" i="5"/>
  <c r="Q58" i="5"/>
  <c r="V58" i="5"/>
  <c r="AA58" i="5"/>
  <c r="C59" i="5"/>
  <c r="H59" i="5"/>
  <c r="M59" i="5"/>
  <c r="S59" i="5"/>
  <c r="X59" i="5"/>
  <c r="AC59" i="5"/>
  <c r="E60" i="5"/>
  <c r="J60" i="5"/>
  <c r="O60" i="5"/>
  <c r="U60" i="5"/>
  <c r="Z60" i="5"/>
  <c r="AE60" i="5"/>
  <c r="G61" i="5"/>
  <c r="L61" i="5"/>
  <c r="Q61" i="5"/>
  <c r="W61" i="5"/>
  <c r="AB61" i="5"/>
  <c r="B62" i="5"/>
  <c r="F62" i="5"/>
  <c r="J62" i="5"/>
  <c r="N62" i="5"/>
  <c r="R62" i="5"/>
  <c r="V62" i="5"/>
  <c r="Z62" i="5"/>
  <c r="AD62" i="5"/>
  <c r="D63" i="5"/>
  <c r="H63" i="5"/>
  <c r="L63" i="5"/>
  <c r="P63" i="5"/>
  <c r="T63" i="5"/>
  <c r="X63" i="5"/>
  <c r="AB63" i="5"/>
  <c r="B64" i="5"/>
  <c r="F64" i="5"/>
  <c r="J64" i="5"/>
  <c r="N64" i="5"/>
  <c r="R64" i="5"/>
  <c r="V64" i="5"/>
  <c r="Z64" i="5"/>
  <c r="AD64" i="5"/>
  <c r="D65" i="5"/>
  <c r="H65" i="5"/>
  <c r="L65" i="5"/>
  <c r="P65" i="5"/>
  <c r="T65" i="5"/>
  <c r="X65" i="5"/>
  <c r="AB65" i="5"/>
  <c r="B66" i="5"/>
  <c r="F66" i="5"/>
  <c r="J66" i="5"/>
  <c r="N66" i="5"/>
  <c r="R66" i="5"/>
  <c r="V66" i="5"/>
  <c r="Z66" i="5"/>
  <c r="AD66" i="5"/>
  <c r="S54" i="5"/>
  <c r="E55" i="5"/>
  <c r="O55" i="5"/>
  <c r="W55" i="5"/>
  <c r="AE55" i="5"/>
  <c r="I56" i="5"/>
  <c r="Q56" i="5"/>
  <c r="Y56" i="5"/>
  <c r="AD56" i="5"/>
  <c r="E57" i="5"/>
  <c r="K57" i="5"/>
  <c r="P57" i="5"/>
  <c r="U57" i="5"/>
  <c r="AA57" i="5"/>
  <c r="B58" i="5"/>
  <c r="G58" i="5"/>
  <c r="M58" i="5"/>
  <c r="R58" i="5"/>
  <c r="W58" i="5"/>
  <c r="AC58" i="5"/>
  <c r="D59" i="5"/>
  <c r="I59" i="5"/>
  <c r="O59" i="5"/>
  <c r="T59" i="5"/>
  <c r="Y59" i="5"/>
  <c r="AE59" i="5"/>
  <c r="F60" i="5"/>
  <c r="K60" i="5"/>
  <c r="Q60" i="5"/>
  <c r="V60" i="5"/>
  <c r="AA60" i="5"/>
  <c r="C61" i="5"/>
  <c r="H61" i="5"/>
  <c r="M61" i="5"/>
  <c r="S61" i="5"/>
  <c r="X61" i="5"/>
  <c r="AC61" i="5"/>
  <c r="C62" i="5"/>
  <c r="G62" i="5"/>
  <c r="K62" i="5"/>
  <c r="O62" i="5"/>
  <c r="S62" i="5"/>
  <c r="W62" i="5"/>
  <c r="AA62" i="5"/>
  <c r="AE62" i="5"/>
  <c r="E63" i="5"/>
  <c r="I63" i="5"/>
  <c r="M63" i="5"/>
  <c r="Q63" i="5"/>
  <c r="U63" i="5"/>
  <c r="Y63" i="5"/>
  <c r="AC63" i="5"/>
  <c r="C64" i="5"/>
  <c r="G64" i="5"/>
  <c r="K64" i="5"/>
  <c r="O64" i="5"/>
  <c r="S64" i="5"/>
  <c r="W64" i="5"/>
  <c r="AA64" i="5"/>
  <c r="AE64" i="5"/>
  <c r="E65" i="5"/>
  <c r="I65" i="5"/>
  <c r="M65" i="5"/>
  <c r="Q65" i="5"/>
  <c r="U65" i="5"/>
  <c r="Y65" i="5"/>
  <c r="AC65" i="5"/>
  <c r="C66" i="5"/>
  <c r="G66" i="5"/>
  <c r="K66" i="5"/>
  <c r="O66" i="5"/>
  <c r="S66" i="5"/>
  <c r="W66" i="5"/>
  <c r="AA66" i="5"/>
  <c r="AE66" i="5"/>
  <c r="E48" i="5"/>
  <c r="S47" i="5"/>
  <c r="C47" i="5"/>
  <c r="Q46" i="5"/>
  <c r="AE45" i="5"/>
  <c r="O45" i="5"/>
  <c r="AC44" i="5"/>
  <c r="M44" i="5"/>
  <c r="AA43" i="5"/>
  <c r="K43" i="5"/>
  <c r="Y42" i="5"/>
  <c r="I42" i="5"/>
  <c r="W41" i="5"/>
  <c r="G41" i="5"/>
  <c r="U40" i="5"/>
  <c r="E40" i="5"/>
  <c r="S39" i="5"/>
  <c r="C39" i="5"/>
  <c r="Q38" i="5"/>
  <c r="AE37" i="5"/>
  <c r="O37" i="5"/>
  <c r="Z47" i="5"/>
  <c r="J47" i="5"/>
  <c r="X46" i="5"/>
  <c r="H46" i="5"/>
  <c r="V45" i="5"/>
  <c r="F45" i="5"/>
  <c r="T44" i="5"/>
  <c r="D44" i="5"/>
  <c r="R43" i="5"/>
  <c r="B43" i="5"/>
  <c r="P42" i="5"/>
  <c r="AD41" i="5"/>
  <c r="N41" i="5"/>
  <c r="AB40" i="5"/>
  <c r="L40" i="5"/>
  <c r="Z39" i="5"/>
  <c r="J39" i="5"/>
  <c r="X38" i="5"/>
  <c r="H38" i="5"/>
  <c r="V37" i="5"/>
  <c r="F37" i="5"/>
  <c r="N37" i="5"/>
  <c r="L46" i="5"/>
  <c r="H44" i="5"/>
  <c r="D42" i="5"/>
  <c r="AD39" i="5"/>
  <c r="L38" i="5"/>
  <c r="AE47" i="5"/>
  <c r="O47" i="5"/>
  <c r="AC46" i="5"/>
  <c r="M46" i="5"/>
  <c r="AA45" i="5"/>
  <c r="K45" i="5"/>
  <c r="Y44" i="5"/>
  <c r="I44" i="5"/>
  <c r="W43" i="5"/>
  <c r="G43" i="5"/>
  <c r="U42" i="5"/>
  <c r="E42" i="5"/>
  <c r="S41" i="5"/>
  <c r="C41" i="5"/>
  <c r="Q40" i="5"/>
  <c r="AE39" i="5"/>
  <c r="O39" i="5"/>
  <c r="AC38" i="5"/>
  <c r="M38" i="5"/>
  <c r="AA37" i="5"/>
  <c r="K37" i="5"/>
  <c r="V47" i="5"/>
  <c r="F47" i="5"/>
  <c r="T46" i="5"/>
  <c r="D46" i="5"/>
  <c r="R45" i="5"/>
  <c r="B45" i="5"/>
  <c r="P44" i="5"/>
  <c r="AD43" i="5"/>
  <c r="N43" i="5"/>
  <c r="AB42" i="5"/>
  <c r="L42" i="5"/>
  <c r="Z41" i="5"/>
  <c r="J41" i="5"/>
  <c r="X40" i="5"/>
  <c r="H40" i="5"/>
  <c r="V39" i="5"/>
  <c r="F39" i="5"/>
  <c r="T38" i="5"/>
  <c r="D38" i="5"/>
  <c r="R37" i="5"/>
  <c r="C37" i="5"/>
  <c r="J45" i="5"/>
  <c r="F43" i="5"/>
  <c r="B41" i="5"/>
  <c r="AB38" i="5"/>
  <c r="D37" i="5"/>
  <c r="AA47" i="5"/>
  <c r="K47" i="5"/>
  <c r="Y46" i="5"/>
  <c r="I46" i="5"/>
  <c r="W45" i="5"/>
  <c r="G45" i="5"/>
  <c r="U44" i="5"/>
  <c r="E44" i="5"/>
  <c r="S43" i="5"/>
  <c r="C43" i="5"/>
  <c r="Q42" i="5"/>
  <c r="AE41" i="5"/>
  <c r="O41" i="5"/>
  <c r="AC40" i="5"/>
  <c r="M40" i="5"/>
  <c r="AA39" i="5"/>
  <c r="K39" i="5"/>
  <c r="Y38" i="5"/>
  <c r="I38" i="5"/>
  <c r="W37" i="5"/>
  <c r="G37" i="5"/>
  <c r="R47" i="5"/>
  <c r="B47" i="5"/>
  <c r="P46" i="5"/>
  <c r="AD45" i="5"/>
  <c r="N45" i="5"/>
  <c r="AB44" i="5"/>
  <c r="L44" i="5"/>
  <c r="Z43" i="5"/>
  <c r="J43" i="5"/>
  <c r="X42" i="5"/>
  <c r="H42" i="5"/>
  <c r="V41" i="5"/>
  <c r="F41" i="5"/>
  <c r="T40" i="5"/>
  <c r="D40" i="5"/>
  <c r="R39" i="5"/>
  <c r="B39" i="5"/>
  <c r="P38" i="5"/>
  <c r="AD37" i="5"/>
  <c r="N47" i="5"/>
  <c r="X44" i="5"/>
  <c r="T42" i="5"/>
  <c r="P40" i="5"/>
  <c r="Z37" i="5"/>
  <c r="I48" i="5"/>
  <c r="W47" i="5"/>
  <c r="G47" i="5"/>
  <c r="U46" i="5"/>
  <c r="E46" i="5"/>
  <c r="S45" i="5"/>
  <c r="C45" i="5"/>
  <c r="Q44" i="5"/>
  <c r="AE43" i="5"/>
  <c r="O43" i="5"/>
  <c r="AC42" i="5"/>
  <c r="M42" i="5"/>
  <c r="AA41" i="5"/>
  <c r="K41" i="5"/>
  <c r="Y40" i="5"/>
  <c r="I40" i="5"/>
  <c r="W39" i="5"/>
  <c r="G39" i="5"/>
  <c r="U38" i="5"/>
  <c r="E38" i="5"/>
  <c r="S37" i="5"/>
  <c r="AB46" i="5"/>
  <c r="Z45" i="5"/>
  <c r="V43" i="5"/>
  <c r="R41" i="5"/>
  <c r="N39" i="5"/>
  <c r="J37" i="5"/>
  <c r="B70" i="5" a="1"/>
  <c r="R70" i="5" l="1"/>
  <c r="V72" i="5"/>
  <c r="Z74" i="5"/>
  <c r="AD76" i="5"/>
  <c r="D79" i="5"/>
  <c r="U71" i="5"/>
  <c r="Y73" i="5"/>
  <c r="AC75" i="5"/>
  <c r="C78" i="5"/>
  <c r="G80" i="5"/>
  <c r="AD71" i="5"/>
  <c r="H76" i="5"/>
  <c r="F80" i="5"/>
  <c r="S82" i="5"/>
  <c r="W84" i="5"/>
  <c r="Q72" i="5"/>
  <c r="Y76" i="5"/>
  <c r="R80" i="5"/>
  <c r="AB82" i="5"/>
  <c r="B85" i="5"/>
  <c r="J71" i="5"/>
  <c r="F70" i="5"/>
  <c r="J72" i="5"/>
  <c r="N74" i="5"/>
  <c r="R76" i="5"/>
  <c r="V78" i="5"/>
  <c r="I71" i="5"/>
  <c r="M73" i="5"/>
  <c r="Q75" i="5"/>
  <c r="U77" i="5"/>
  <c r="Y79" i="5"/>
  <c r="F71" i="5"/>
  <c r="N75" i="5"/>
  <c r="T79" i="5"/>
  <c r="G82" i="5"/>
  <c r="K84" i="5"/>
  <c r="W71" i="5"/>
  <c r="AE75" i="5"/>
  <c r="B80" i="5"/>
  <c r="P82" i="5"/>
  <c r="T84" i="5"/>
  <c r="P70" i="5"/>
  <c r="X74" i="5"/>
  <c r="AB71" i="5"/>
  <c r="B74" i="5"/>
  <c r="F76" i="5"/>
  <c r="J78" i="5"/>
  <c r="AA70" i="5"/>
  <c r="AE72" i="5"/>
  <c r="E75" i="5"/>
  <c r="I77" i="5"/>
  <c r="M79" i="5"/>
  <c r="L70" i="5"/>
  <c r="T74" i="5"/>
  <c r="AB78" i="5"/>
  <c r="Y81" i="5"/>
  <c r="AC83" i="5"/>
  <c r="AC70" i="5"/>
  <c r="G75" i="5"/>
  <c r="O79" i="5"/>
  <c r="D82" i="5"/>
  <c r="H84" i="5"/>
  <c r="L86" i="5"/>
  <c r="AD73" i="5"/>
  <c r="V74" i="5"/>
  <c r="U73" i="5"/>
  <c r="V71" i="5"/>
  <c r="S84" i="5"/>
  <c r="X82" i="5"/>
  <c r="L76" i="5"/>
  <c r="I80" i="5"/>
  <c r="U82" i="5"/>
  <c r="G81" i="5"/>
  <c r="G86" i="5"/>
  <c r="N88" i="5"/>
  <c r="R90" i="5"/>
  <c r="V92" i="5"/>
  <c r="AC76" i="5"/>
  <c r="H85" i="5"/>
  <c r="Y87" i="5"/>
  <c r="AC89" i="5"/>
  <c r="C92" i="5"/>
  <c r="G94" i="5"/>
  <c r="E76" i="5"/>
  <c r="C85" i="5"/>
  <c r="D71" i="5"/>
  <c r="H73" i="5"/>
  <c r="L75" i="5"/>
  <c r="P77" i="5"/>
  <c r="C70" i="5"/>
  <c r="G72" i="5"/>
  <c r="K74" i="5"/>
  <c r="O76" i="5"/>
  <c r="S78" i="5"/>
  <c r="W80" i="5"/>
  <c r="B73" i="5"/>
  <c r="J77" i="5"/>
  <c r="AB80" i="5"/>
  <c r="E83" i="5"/>
  <c r="I85" i="5"/>
  <c r="S73" i="5"/>
  <c r="AA77" i="5"/>
  <c r="J81" i="5"/>
  <c r="N83" i="5"/>
  <c r="R85" i="5"/>
  <c r="L72" i="5"/>
  <c r="V70" i="5"/>
  <c r="Z72" i="5"/>
  <c r="AD74" i="5"/>
  <c r="D77" i="5"/>
  <c r="H79" i="5"/>
  <c r="Y71" i="5"/>
  <c r="AC73" i="5"/>
  <c r="C76" i="5"/>
  <c r="G78" i="5"/>
  <c r="K80" i="5"/>
  <c r="H72" i="5"/>
  <c r="P76" i="5"/>
  <c r="L80" i="5"/>
  <c r="W82" i="5"/>
  <c r="AA84" i="5"/>
  <c r="Y72" i="5"/>
  <c r="C77" i="5"/>
  <c r="X80" i="5"/>
  <c r="B83" i="5"/>
  <c r="F85" i="5"/>
  <c r="R71" i="5"/>
  <c r="J70" i="5"/>
  <c r="N72" i="5"/>
  <c r="R74" i="5"/>
  <c r="V76" i="5"/>
  <c r="Z78" i="5"/>
  <c r="M71" i="5"/>
  <c r="Q73" i="5"/>
  <c r="U75" i="5"/>
  <c r="Y77" i="5"/>
  <c r="AC79" i="5"/>
  <c r="N71" i="5"/>
  <c r="V75" i="5"/>
  <c r="Z79" i="5"/>
  <c r="K82" i="5"/>
  <c r="O84" i="5"/>
  <c r="AE71" i="5"/>
  <c r="I76" i="5"/>
  <c r="H80" i="5"/>
  <c r="T82" i="5"/>
  <c r="X84" i="5"/>
  <c r="X70" i="5"/>
  <c r="B75" i="5"/>
  <c r="Z76" i="5"/>
  <c r="Y75" i="5"/>
  <c r="AD75" i="5"/>
  <c r="I72" i="5"/>
  <c r="AB84" i="5"/>
  <c r="N77" i="5"/>
  <c r="AD80" i="5"/>
  <c r="G83" i="5"/>
  <c r="K83" i="5"/>
  <c r="Z86" i="5"/>
  <c r="AD88" i="5"/>
  <c r="D91" i="5"/>
  <c r="H93" i="5"/>
  <c r="U80" i="5"/>
  <c r="C86" i="5"/>
  <c r="K88" i="5"/>
  <c r="O90" i="5"/>
  <c r="S92" i="5"/>
  <c r="W94" i="5"/>
  <c r="E80" i="5"/>
  <c r="AC85" i="5"/>
  <c r="T71" i="5"/>
  <c r="X73" i="5"/>
  <c r="AB75" i="5"/>
  <c r="B78" i="5"/>
  <c r="S70" i="5"/>
  <c r="W72" i="5"/>
  <c r="AA74" i="5"/>
  <c r="AE76" i="5"/>
  <c r="E79" i="5"/>
  <c r="I81" i="5"/>
  <c r="D74" i="5"/>
  <c r="L78" i="5"/>
  <c r="Q81" i="5"/>
  <c r="U83" i="5"/>
  <c r="M70" i="5"/>
  <c r="U74" i="5"/>
  <c r="AC78" i="5"/>
  <c r="Z81" i="5"/>
  <c r="AD83" i="5"/>
  <c r="D86" i="5"/>
  <c r="N73" i="5"/>
  <c r="H71" i="5"/>
  <c r="L73" i="5"/>
  <c r="P75" i="5"/>
  <c r="T77" i="5"/>
  <c r="G70" i="5"/>
  <c r="K72" i="5"/>
  <c r="O74" i="5"/>
  <c r="S76" i="5"/>
  <c r="W78" i="5"/>
  <c r="AA80" i="5"/>
  <c r="J73" i="5"/>
  <c r="R77" i="5"/>
  <c r="C81" i="5"/>
  <c r="I83" i="5"/>
  <c r="M85" i="5"/>
  <c r="AA73" i="5"/>
  <c r="E78" i="5"/>
  <c r="N81" i="5"/>
  <c r="R83" i="5"/>
  <c r="V85" i="5"/>
  <c r="T72" i="5"/>
  <c r="Z70" i="5"/>
  <c r="AD72" i="5"/>
  <c r="D75" i="5"/>
  <c r="H77" i="5"/>
  <c r="L79" i="5"/>
  <c r="AC71" i="5"/>
  <c r="C74" i="5"/>
  <c r="G76" i="5"/>
  <c r="K78" i="5"/>
  <c r="O80" i="5"/>
  <c r="P72" i="5"/>
  <c r="X76" i="5"/>
  <c r="Q80" i="5"/>
  <c r="AA82" i="5"/>
  <c r="AE84" i="5"/>
  <c r="C73" i="5"/>
  <c r="K77" i="5"/>
  <c r="AC80" i="5"/>
  <c r="F83" i="5"/>
  <c r="J85" i="5"/>
  <c r="Z71" i="5"/>
  <c r="N70" i="5"/>
  <c r="AD78" i="5"/>
  <c r="AC77" i="5"/>
  <c r="AE79" i="5"/>
  <c r="Q76" i="5"/>
  <c r="B71" i="5"/>
  <c r="P78" i="5"/>
  <c r="S81" i="5"/>
  <c r="B70" i="5"/>
  <c r="F72" i="5"/>
  <c r="J74" i="5"/>
  <c r="N76" i="5"/>
  <c r="R78" i="5"/>
  <c r="E71" i="5"/>
  <c r="I73" i="5"/>
  <c r="M75" i="5"/>
  <c r="Q77" i="5"/>
  <c r="U79" i="5"/>
  <c r="AB70" i="5"/>
  <c r="F75" i="5"/>
  <c r="N79" i="5"/>
  <c r="C82" i="5"/>
  <c r="G84" i="5"/>
  <c r="O71" i="5"/>
  <c r="W75" i="5"/>
  <c r="AA79" i="5"/>
  <c r="L82" i="5"/>
  <c r="P84" i="5"/>
  <c r="H70" i="5"/>
  <c r="P74" i="5"/>
  <c r="X71" i="5"/>
  <c r="AB73" i="5"/>
  <c r="B76" i="5"/>
  <c r="F78" i="5"/>
  <c r="W70" i="5"/>
  <c r="AA72" i="5"/>
  <c r="AE74" i="5"/>
  <c r="E77" i="5"/>
  <c r="I79" i="5"/>
  <c r="D70" i="5"/>
  <c r="L74" i="5"/>
  <c r="T78" i="5"/>
  <c r="U81" i="5"/>
  <c r="Y83" i="5"/>
  <c r="U70" i="5"/>
  <c r="AC74" i="5"/>
  <c r="G79" i="5"/>
  <c r="AD81" i="5"/>
  <c r="D84" i="5"/>
  <c r="H86" i="5"/>
  <c r="V73" i="5"/>
  <c r="L71" i="5"/>
  <c r="P73" i="5"/>
  <c r="T75" i="5"/>
  <c r="X77" i="5"/>
  <c r="K70" i="5"/>
  <c r="O72" i="5"/>
  <c r="S74" i="5"/>
  <c r="W76" i="5"/>
  <c r="AA78" i="5"/>
  <c r="AE80" i="5"/>
  <c r="R73" i="5"/>
  <c r="Z77" i="5"/>
  <c r="H81" i="5"/>
  <c r="M83" i="5"/>
  <c r="Q85" i="5"/>
  <c r="E74" i="5"/>
  <c r="M78" i="5"/>
  <c r="R81" i="5"/>
  <c r="V83" i="5"/>
  <c r="Z85" i="5"/>
  <c r="AB72" i="5"/>
  <c r="R72" i="5"/>
  <c r="Q71" i="5"/>
  <c r="C80" i="5"/>
  <c r="O82" i="5"/>
  <c r="M80" i="5"/>
  <c r="J75" i="5"/>
  <c r="R79" i="5"/>
  <c r="E82" i="5"/>
  <c r="W77" i="5"/>
  <c r="O85" i="5"/>
  <c r="AB87" i="5"/>
  <c r="B90" i="5"/>
  <c r="F92" i="5"/>
  <c r="U72" i="5"/>
  <c r="F84" i="5"/>
  <c r="I87" i="5"/>
  <c r="M89" i="5"/>
  <c r="Q91" i="5"/>
  <c r="U93" i="5"/>
  <c r="AA71" i="5"/>
  <c r="AE83" i="5"/>
  <c r="L87" i="5"/>
  <c r="AD82" i="5"/>
  <c r="E93" i="5"/>
  <c r="AD70" i="5"/>
  <c r="P79" i="5"/>
  <c r="O78" i="5"/>
  <c r="V80" i="5"/>
  <c r="S77" i="5"/>
  <c r="D72" i="5"/>
  <c r="X78" i="5"/>
  <c r="W81" i="5"/>
  <c r="Q74" i="5"/>
  <c r="U84" i="5"/>
  <c r="P87" i="5"/>
  <c r="T89" i="5"/>
  <c r="X91" i="5"/>
  <c r="AB93" i="5"/>
  <c r="L83" i="5"/>
  <c r="AA86" i="5"/>
  <c r="AE88" i="5"/>
  <c r="E91" i="5"/>
  <c r="I93" i="5"/>
  <c r="M95" i="5"/>
  <c r="D83" i="5"/>
  <c r="X86" i="5"/>
  <c r="AB88" i="5"/>
  <c r="AB77" i="5"/>
  <c r="AA76" i="5"/>
  <c r="D78" i="5"/>
  <c r="M74" i="5"/>
  <c r="AD85" i="5"/>
  <c r="AD77" i="5"/>
  <c r="K81" i="5"/>
  <c r="K71" i="5"/>
  <c r="AA83" i="5"/>
  <c r="D87" i="5"/>
  <c r="H89" i="5"/>
  <c r="L91" i="5"/>
  <c r="P93" i="5"/>
  <c r="AB81" i="5"/>
  <c r="N86" i="5"/>
  <c r="S88" i="5"/>
  <c r="W90" i="5"/>
  <c r="AE70" i="5"/>
  <c r="H74" i="5"/>
  <c r="G85" i="5"/>
  <c r="S71" i="5"/>
  <c r="M91" i="5"/>
  <c r="AE73" i="5"/>
  <c r="F87" i="5"/>
  <c r="Z89" i="5"/>
  <c r="AD91" i="5"/>
  <c r="D94" i="5"/>
  <c r="K75" i="5"/>
  <c r="AA91" i="5"/>
  <c r="P96" i="5"/>
  <c r="T98" i="5"/>
  <c r="E99" i="5"/>
  <c r="AA89" i="5"/>
  <c r="AE95" i="5"/>
  <c r="E98" i="5"/>
  <c r="P83" i="5"/>
  <c r="E97" i="5"/>
  <c r="K87" i="5"/>
  <c r="AC94" i="5"/>
  <c r="P97" i="5"/>
  <c r="T99" i="5"/>
  <c r="AB95" i="5"/>
  <c r="F74" i="5"/>
  <c r="H82" i="5"/>
  <c r="P80" i="5"/>
  <c r="R92" i="5"/>
  <c r="Y89" i="5"/>
  <c r="E95" i="5"/>
  <c r="P89" i="5"/>
  <c r="W86" i="5"/>
  <c r="I95" i="5"/>
  <c r="D73" i="5"/>
  <c r="C72" i="5"/>
  <c r="S80" i="5"/>
  <c r="AE82" i="5"/>
  <c r="D81" i="5"/>
  <c r="R75" i="5"/>
  <c r="W79" i="5"/>
  <c r="I82" i="5"/>
  <c r="Y78" i="5"/>
  <c r="U85" i="5"/>
  <c r="B88" i="5"/>
  <c r="F90" i="5"/>
  <c r="J92" i="5"/>
  <c r="W73" i="5"/>
  <c r="N84" i="5"/>
  <c r="M87" i="5"/>
  <c r="Q89" i="5"/>
  <c r="U91" i="5"/>
  <c r="Y93" i="5"/>
  <c r="AC72" i="5"/>
  <c r="I84" i="5"/>
  <c r="J87" i="5"/>
  <c r="P71" i="5"/>
  <c r="O70" i="5"/>
  <c r="AE78" i="5"/>
  <c r="M81" i="5"/>
  <c r="U78" i="5"/>
  <c r="F73" i="5"/>
  <c r="B79" i="5"/>
  <c r="AA81" i="5"/>
  <c r="S75" i="5"/>
  <c r="AC84" i="5"/>
  <c r="T87" i="5"/>
  <c r="X89" i="5"/>
  <c r="AB91" i="5"/>
  <c r="Q70" i="5"/>
  <c r="T83" i="5"/>
  <c r="AE86" i="5"/>
  <c r="E89" i="5"/>
  <c r="I91" i="5"/>
  <c r="Q79" i="5"/>
  <c r="J79" i="5"/>
  <c r="X87" i="5"/>
  <c r="AB83" i="5"/>
  <c r="AA92" i="5"/>
  <c r="P81" i="5"/>
  <c r="AD87" i="5"/>
  <c r="L90" i="5"/>
  <c r="P92" i="5"/>
  <c r="T94" i="5"/>
  <c r="Z84" i="5"/>
  <c r="AE93" i="5"/>
  <c r="B97" i="5"/>
  <c r="F99" i="5"/>
  <c r="M76" i="5"/>
  <c r="AE91" i="5"/>
  <c r="Q96" i="5"/>
  <c r="U98" i="5"/>
  <c r="C89" i="5"/>
  <c r="O98" i="5"/>
  <c r="O89" i="5"/>
  <c r="AA95" i="5"/>
  <c r="B98" i="5"/>
  <c r="R84" i="5"/>
  <c r="AE96" i="5"/>
  <c r="E73" i="5"/>
  <c r="D76" i="5"/>
  <c r="B86" i="5"/>
  <c r="AA75" i="5"/>
  <c r="AC91" i="5"/>
  <c r="C75" i="5"/>
  <c r="N87" i="5"/>
  <c r="AD89" i="5"/>
  <c r="D92" i="5"/>
  <c r="H94" i="5"/>
  <c r="S79" i="5"/>
  <c r="M92" i="5"/>
  <c r="T96" i="5"/>
  <c r="X98" i="5"/>
  <c r="Q99" i="5"/>
  <c r="M90" i="5"/>
  <c r="E96" i="5"/>
  <c r="O73" i="5"/>
  <c r="T91" i="5"/>
  <c r="AA88" i="5"/>
  <c r="R82" i="5"/>
  <c r="H75" i="5"/>
  <c r="G74" i="5"/>
  <c r="X72" i="5"/>
  <c r="E85" i="5"/>
  <c r="J83" i="5"/>
  <c r="T76" i="5"/>
  <c r="N80" i="5"/>
  <c r="Y82" i="5"/>
  <c r="X81" i="5"/>
  <c r="M86" i="5"/>
  <c r="R88" i="5"/>
  <c r="V90" i="5"/>
  <c r="Z92" i="5"/>
  <c r="AE77" i="5"/>
  <c r="P85" i="5"/>
  <c r="AC87" i="5"/>
  <c r="C90" i="5"/>
  <c r="G92" i="5"/>
  <c r="K94" i="5"/>
  <c r="G77" i="5"/>
  <c r="K85" i="5"/>
  <c r="Z87" i="5"/>
  <c r="T73" i="5"/>
  <c r="S72" i="5"/>
  <c r="E81" i="5"/>
  <c r="Q83" i="5"/>
  <c r="V81" i="5"/>
  <c r="Z75" i="5"/>
  <c r="AB79" i="5"/>
  <c r="M82" i="5"/>
  <c r="X79" i="5"/>
  <c r="AA85" i="5"/>
  <c r="F88" i="5"/>
  <c r="J90" i="5"/>
  <c r="N92" i="5"/>
  <c r="Y74" i="5"/>
  <c r="V84" i="5"/>
  <c r="Q87" i="5"/>
  <c r="U89" i="5"/>
  <c r="Y91" i="5"/>
  <c r="AC81" i="5"/>
  <c r="AE81" i="5"/>
  <c r="AB89" i="5"/>
  <c r="E87" i="5"/>
  <c r="AC93" i="5"/>
  <c r="Q84" i="5"/>
  <c r="T88" i="5"/>
  <c r="AB90" i="5"/>
  <c r="B93" i="5"/>
  <c r="F95" i="5"/>
  <c r="S87" i="5"/>
  <c r="C95" i="5"/>
  <c r="R97" i="5"/>
  <c r="V99" i="5"/>
  <c r="D85" i="5"/>
  <c r="B94" i="5"/>
  <c r="C97" i="5"/>
  <c r="G99" i="5"/>
  <c r="K93" i="5"/>
  <c r="G73" i="5"/>
  <c r="M84" i="5"/>
  <c r="X93" i="5"/>
  <c r="AE90" i="5"/>
  <c r="T86" i="5"/>
  <c r="L77" i="5"/>
  <c r="K76" i="5"/>
  <c r="B77" i="5"/>
  <c r="K73" i="5"/>
  <c r="N85" i="5"/>
  <c r="V77" i="5"/>
  <c r="F81" i="5"/>
  <c r="I70" i="5"/>
  <c r="S83" i="5"/>
  <c r="AD86" i="5"/>
  <c r="D89" i="5"/>
  <c r="H91" i="5"/>
  <c r="L93" i="5"/>
  <c r="L81" i="5"/>
  <c r="I86" i="5"/>
  <c r="O88" i="5"/>
  <c r="S90" i="5"/>
  <c r="W92" i="5"/>
  <c r="AA94" i="5"/>
  <c r="Z80" i="5"/>
  <c r="E86" i="5"/>
  <c r="L88" i="5"/>
  <c r="X75" i="5"/>
  <c r="W74" i="5"/>
  <c r="Z73" i="5"/>
  <c r="E70" i="5"/>
  <c r="Z83" i="5"/>
  <c r="AB76" i="5"/>
  <c r="T80" i="5"/>
  <c r="AC82" i="5"/>
  <c r="J82" i="5"/>
  <c r="R86" i="5"/>
  <c r="V88" i="5"/>
  <c r="Z90" i="5"/>
  <c r="AD92" i="5"/>
  <c r="C79" i="5"/>
  <c r="W85" i="5"/>
  <c r="C88" i="5"/>
  <c r="G90" i="5"/>
  <c r="B72" i="5"/>
  <c r="V79" i="5"/>
  <c r="U76" i="5"/>
  <c r="B92" i="5"/>
  <c r="I89" i="5"/>
  <c r="AE94" i="5"/>
  <c r="J86" i="5"/>
  <c r="J89" i="5"/>
  <c r="N91" i="5"/>
  <c r="R93" i="5"/>
  <c r="V95" i="5"/>
  <c r="W89" i="5"/>
  <c r="AC95" i="5"/>
  <c r="D98" i="5"/>
  <c r="K96" i="5"/>
  <c r="W87" i="5"/>
  <c r="D95" i="5"/>
  <c r="S97" i="5"/>
  <c r="W99" i="5"/>
  <c r="W95" i="5"/>
  <c r="J84" i="5"/>
  <c r="W93" i="5"/>
  <c r="AD96" i="5"/>
  <c r="D99" i="5"/>
  <c r="AA93" i="5"/>
  <c r="Y99" i="5"/>
  <c r="C84" i="5"/>
  <c r="Q82" i="5"/>
  <c r="N90" i="5"/>
  <c r="U87" i="5"/>
  <c r="C94" i="5"/>
  <c r="Y84" i="5"/>
  <c r="X88" i="5"/>
  <c r="B91" i="5"/>
  <c r="F93" i="5"/>
  <c r="J95" i="5"/>
  <c r="E88" i="5"/>
  <c r="K95" i="5"/>
  <c r="V97" i="5"/>
  <c r="Z99" i="5"/>
  <c r="AE85" i="5"/>
  <c r="J94" i="5"/>
  <c r="G97" i="5"/>
  <c r="R98" i="5"/>
  <c r="D80" i="5"/>
  <c r="B82" i="5"/>
  <c r="P90" i="5"/>
  <c r="X94" i="5"/>
  <c r="I94" i="5"/>
  <c r="J99" i="5"/>
  <c r="Q92" i="5"/>
  <c r="I98" i="5"/>
  <c r="T85" i="5"/>
  <c r="M97" i="5"/>
  <c r="AA87" i="5"/>
  <c r="G95" i="5"/>
  <c r="T97" i="5"/>
  <c r="X99" i="5"/>
  <c r="G96" i="5"/>
  <c r="I75" i="5"/>
  <c r="F77" i="5"/>
  <c r="V86" i="5"/>
  <c r="AD79" i="5"/>
  <c r="K92" i="5"/>
  <c r="I78" i="5"/>
  <c r="R87" i="5"/>
  <c r="D90" i="5"/>
  <c r="H92" i="5"/>
  <c r="L94" i="5"/>
  <c r="F82" i="5"/>
  <c r="AC92" i="5"/>
  <c r="X96" i="5"/>
  <c r="AB98" i="5"/>
  <c r="AC99" i="5"/>
  <c r="AC90" i="5"/>
  <c r="I96" i="5"/>
  <c r="M98" i="5"/>
  <c r="AC86" i="5"/>
  <c r="Y97" i="5"/>
  <c r="M88" i="5"/>
  <c r="N78" i="5"/>
  <c r="AA90" i="5"/>
  <c r="Z91" i="5"/>
  <c r="L96" i="5"/>
  <c r="Y95" i="5"/>
  <c r="Y86" i="5"/>
  <c r="N98" i="5"/>
  <c r="AC97" i="5"/>
  <c r="H87" i="5"/>
  <c r="V87" i="5"/>
  <c r="X83" i="5"/>
  <c r="E72" i="5"/>
  <c r="AE87" i="5"/>
  <c r="V96" i="5"/>
  <c r="W91" i="5"/>
  <c r="W88" i="5"/>
  <c r="J91" i="5"/>
  <c r="X95" i="5"/>
  <c r="Z94" i="5"/>
  <c r="H83" i="5"/>
  <c r="J98" i="5"/>
  <c r="Q97" i="5"/>
  <c r="S86" i="5"/>
  <c r="X90" i="5"/>
  <c r="Y94" i="5"/>
  <c r="S93" i="5"/>
  <c r="U99" i="5"/>
  <c r="AB97" i="5"/>
  <c r="W96" i="5"/>
  <c r="S89" i="5"/>
  <c r="J88" i="5"/>
  <c r="O86" i="5"/>
  <c r="R91" i="5"/>
  <c r="Z95" i="5"/>
  <c r="D96" i="5"/>
  <c r="U97" i="5"/>
  <c r="L95" i="5"/>
  <c r="Y98" i="5"/>
  <c r="E90" i="5"/>
  <c r="AA98" i="5"/>
  <c r="AE89" i="5"/>
  <c r="B96" i="5"/>
  <c r="F98" i="5"/>
  <c r="K86" i="5"/>
  <c r="I97" i="5"/>
  <c r="AB74" i="5"/>
  <c r="Y80" i="5"/>
  <c r="Z88" i="5"/>
  <c r="AB85" i="5"/>
  <c r="M93" i="5"/>
  <c r="O83" i="5"/>
  <c r="H88" i="5"/>
  <c r="T90" i="5"/>
  <c r="X92" i="5"/>
  <c r="AB94" i="5"/>
  <c r="Q86" i="5"/>
  <c r="Q94" i="5"/>
  <c r="J97" i="5"/>
  <c r="N99" i="5"/>
  <c r="V82" i="5"/>
  <c r="C93" i="5"/>
  <c r="Y96" i="5"/>
  <c r="AC98" i="5"/>
  <c r="G91" i="5"/>
  <c r="I99" i="5"/>
  <c r="Q90" i="5"/>
  <c r="P86" i="5"/>
  <c r="Y70" i="5"/>
  <c r="AD93" i="5"/>
  <c r="P98" i="5"/>
  <c r="AE97" i="5"/>
  <c r="U94" i="5"/>
  <c r="P99" i="5"/>
  <c r="M72" i="5"/>
  <c r="N82" i="5"/>
  <c r="H90" i="5"/>
  <c r="O93" i="5"/>
  <c r="O91" i="5"/>
  <c r="C98" i="5"/>
  <c r="X97" i="5"/>
  <c r="O96" i="5"/>
  <c r="S94" i="5"/>
  <c r="N93" i="5"/>
  <c r="AD97" i="5"/>
  <c r="O97" i="5"/>
  <c r="G93" i="5"/>
  <c r="L99" i="5"/>
  <c r="F79" i="5"/>
  <c r="Q93" i="5"/>
  <c r="AB92" i="5"/>
  <c r="N97" i="5"/>
  <c r="AC96" i="5"/>
  <c r="C91" i="5"/>
  <c r="AD98" i="5"/>
  <c r="M99" i="5"/>
  <c r="S91" i="5"/>
  <c r="K98" i="5"/>
  <c r="AD84" i="5"/>
  <c r="D88" i="5"/>
  <c r="T92" i="5"/>
  <c r="Y85" i="5"/>
  <c r="F97" i="5"/>
  <c r="J80" i="5"/>
  <c r="U96" i="5"/>
  <c r="K99" i="5"/>
  <c r="F94" i="5"/>
  <c r="O77" i="5"/>
  <c r="E92" i="5"/>
  <c r="R96" i="5"/>
  <c r="V98" i="5"/>
  <c r="U90" i="5"/>
  <c r="S98" i="5"/>
  <c r="G71" i="5"/>
  <c r="C83" i="5"/>
  <c r="AD90" i="5"/>
  <c r="G88" i="5"/>
  <c r="O94" i="5"/>
  <c r="S85" i="5"/>
  <c r="B89" i="5"/>
  <c r="F91" i="5"/>
  <c r="J93" i="5"/>
  <c r="N95" i="5"/>
  <c r="U88" i="5"/>
  <c r="S95" i="5"/>
  <c r="Z97" i="5"/>
  <c r="AD99" i="5"/>
  <c r="U86" i="5"/>
  <c r="R94" i="5"/>
  <c r="K97" i="5"/>
  <c r="O99" i="5"/>
  <c r="V94" i="5"/>
  <c r="B81" i="5"/>
  <c r="U92" i="5"/>
  <c r="E84" i="5"/>
  <c r="B87" i="5"/>
  <c r="C71" i="5"/>
  <c r="W98" i="5"/>
  <c r="Q78" i="5"/>
  <c r="J96" i="5"/>
  <c r="Q88" i="5"/>
  <c r="M77" i="5"/>
  <c r="O92" i="5"/>
  <c r="L92" i="5"/>
  <c r="AB96" i="5"/>
  <c r="M96" i="5"/>
  <c r="AC88" i="5"/>
  <c r="Z98" i="5"/>
  <c r="AE98" i="5"/>
  <c r="X85" i="5"/>
  <c r="R95" i="5"/>
  <c r="T81" i="5"/>
  <c r="S99" i="5"/>
  <c r="F96" i="5"/>
  <c r="O87" i="5"/>
  <c r="O81" i="5"/>
  <c r="W83" i="5"/>
  <c r="B95" i="5"/>
  <c r="R99" i="5"/>
  <c r="C99" i="5"/>
  <c r="U95" i="5"/>
  <c r="I74" i="5"/>
  <c r="O75" i="5"/>
  <c r="N96" i="5"/>
  <c r="T70" i="5"/>
  <c r="AE92" i="5"/>
  <c r="N89" i="5"/>
  <c r="V93" i="5"/>
  <c r="I90" i="5"/>
  <c r="H98" i="5"/>
  <c r="I88" i="5"/>
  <c r="W97" i="5"/>
  <c r="AA99" i="5"/>
  <c r="C96" i="5"/>
  <c r="L85" i="5"/>
  <c r="E94" i="5"/>
  <c r="D97" i="5"/>
  <c r="H99" i="5"/>
  <c r="N94" i="5"/>
  <c r="J76" i="5"/>
  <c r="L84" i="5"/>
  <c r="Z82" i="5"/>
  <c r="D93" i="5"/>
  <c r="K90" i="5"/>
  <c r="Q95" i="5"/>
  <c r="AB86" i="5"/>
  <c r="R89" i="5"/>
  <c r="V91" i="5"/>
  <c r="Z93" i="5"/>
  <c r="AD95" i="5"/>
  <c r="Y90" i="5"/>
  <c r="H96" i="5"/>
  <c r="L98" i="5"/>
  <c r="G98" i="5"/>
  <c r="Y88" i="5"/>
  <c r="T95" i="5"/>
  <c r="AA97" i="5"/>
  <c r="AE99" i="5"/>
  <c r="S96" i="5"/>
  <c r="F86" i="5"/>
  <c r="M94" i="5"/>
  <c r="T93" i="5"/>
  <c r="V89" i="5"/>
  <c r="K91" i="5"/>
  <c r="K89" i="5"/>
  <c r="AA96" i="5"/>
  <c r="L97" i="5"/>
  <c r="P95" i="5"/>
  <c r="H78" i="5"/>
  <c r="K79" i="5"/>
  <c r="P94" i="5"/>
  <c r="B99" i="5"/>
  <c r="Q98" i="5"/>
  <c r="O95" i="5"/>
  <c r="AB99" i="5"/>
  <c r="P91" i="5"/>
  <c r="F89" i="5"/>
  <c r="G89" i="5"/>
  <c r="G87" i="5"/>
  <c r="H95" i="5"/>
  <c r="H97" i="5"/>
  <c r="AD94" i="5"/>
  <c r="L89" i="5"/>
  <c r="P88" i="5"/>
  <c r="C87" i="5"/>
  <c r="B84" i="5"/>
  <c r="I92" i="5"/>
  <c r="Z96" i="5"/>
  <c r="Y9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<sst xmlns="http://schemas.openxmlformats.org/spreadsheetml/2006/main" count="771" uniqueCount="162">
  <si>
    <t>Verbio Vereinigte Bioenergie AG (VBKG)</t>
  </si>
  <si>
    <t>Sartorius Stedim Biotech SA (56S1)</t>
  </si>
  <si>
    <t>Infineon Technologies AG</t>
  </si>
  <si>
    <t>Adidas AG</t>
  </si>
  <si>
    <t>Fabasoft AG</t>
  </si>
  <si>
    <t>MTU Aero Engines NA O,N,</t>
  </si>
  <si>
    <t>Puma SE</t>
  </si>
  <si>
    <t>Soitec SA</t>
  </si>
  <si>
    <t>DAX</t>
  </si>
  <si>
    <t>Date</t>
  </si>
  <si>
    <t>VBKG</t>
  </si>
  <si>
    <t>56S1</t>
  </si>
  <si>
    <t>IFXGn</t>
  </si>
  <si>
    <t>ADSGn</t>
  </si>
  <si>
    <t>FAAS</t>
  </si>
  <si>
    <t>MTXGn</t>
  </si>
  <si>
    <t>PUMG</t>
  </si>
  <si>
    <t>SOH1</t>
  </si>
  <si>
    <t>GDAXI</t>
  </si>
  <si>
    <t>Henkel AG &amp; Co KGAA ST O,N</t>
  </si>
  <si>
    <t>Volkswagen</t>
  </si>
  <si>
    <t>SAP</t>
  </si>
  <si>
    <t>Allianz</t>
  </si>
  <si>
    <t>Siemens AG</t>
  </si>
  <si>
    <t>Deutsche Post</t>
  </si>
  <si>
    <t>Daimler AG</t>
  </si>
  <si>
    <t>BMW</t>
  </si>
  <si>
    <t>Porsche AG</t>
  </si>
  <si>
    <t>Vonovia SE</t>
  </si>
  <si>
    <t>Merck KGaA</t>
  </si>
  <si>
    <t>Deutsche Boerse AG</t>
  </si>
  <si>
    <t>RWE AG ST O,N,</t>
  </si>
  <si>
    <t>Deutsche Wohnen AG</t>
  </si>
  <si>
    <t>Fresenius Medical Care KGAA ST</t>
  </si>
  <si>
    <t>E,ON SE</t>
  </si>
  <si>
    <t>BASF SE NA O,N,</t>
  </si>
  <si>
    <t>Continental AG O,N,</t>
  </si>
  <si>
    <t>Ceconomy AG</t>
  </si>
  <si>
    <t>Muench, Rueckvers, VNA O,N,</t>
  </si>
  <si>
    <t>Thyssenkrupp AG O,N,</t>
  </si>
  <si>
    <t>Talanx AG NA O,N,</t>
  </si>
  <si>
    <t>HNKG</t>
  </si>
  <si>
    <t>VOWG_p</t>
  </si>
  <si>
    <t>SAPG</t>
  </si>
  <si>
    <t>ALVG</t>
  </si>
  <si>
    <t>SIEGn</t>
  </si>
  <si>
    <t>DPWGn</t>
  </si>
  <si>
    <t>DAIGn</t>
  </si>
  <si>
    <t>BMWG</t>
  </si>
  <si>
    <t>PSHG_p</t>
  </si>
  <si>
    <t>VNAn</t>
  </si>
  <si>
    <t>MRCG</t>
  </si>
  <si>
    <t>DB1Gn</t>
  </si>
  <si>
    <t>RWEG</t>
  </si>
  <si>
    <t>DWNG</t>
  </si>
  <si>
    <t>FMEG</t>
  </si>
  <si>
    <t>EONGn</t>
  </si>
  <si>
    <t>BASFn</t>
  </si>
  <si>
    <t>CONG</t>
  </si>
  <si>
    <t>CECG</t>
  </si>
  <si>
    <t>MUV2d</t>
  </si>
  <si>
    <t>TKAG</t>
  </si>
  <si>
    <t>TLXGn</t>
  </si>
  <si>
    <t>Mean</t>
  </si>
  <si>
    <t>Var</t>
  </si>
  <si>
    <t>Sigma</t>
  </si>
  <si>
    <t>beta</t>
  </si>
  <si>
    <t>mean</t>
  </si>
  <si>
    <t>constant</t>
  </si>
  <si>
    <t>Portfolio x</t>
  </si>
  <si>
    <t>Portfolio y</t>
  </si>
  <si>
    <t>sigma</t>
  </si>
  <si>
    <t>Cov(x, y)</t>
  </si>
  <si>
    <t>Portfolio mean</t>
  </si>
  <si>
    <t>Portfolio sigma</t>
  </si>
  <si>
    <t>data table</t>
  </si>
  <si>
    <t>Mã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</si>
  <si>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</si>
  <si>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</si>
  <si>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</si>
  <si>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</si>
  <si>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</si>
  <si>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</si>
  <si>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</si>
  <si>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</si>
  <si>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</si>
  <si>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</si>
  <si>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</si>
  <si>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</si>
  <si>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</si>
  <si>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</si>
  <si>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</si>
  <si>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</si>
  <si>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</si>
  <si>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</si>
  <si>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</si>
  <si>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</si>
  <si>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</si>
  <si>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</si>
  <si>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</si>
  <si>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</si>
  <si>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</si>
  <si>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</si>
  <si>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</si>
  <si>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</si>
  <si>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</si>
  <si>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</si>
  <si>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Tổng</t>
  </si>
  <si>
    <t>Theta</t>
  </si>
  <si>
    <t>c</t>
  </si>
  <si>
    <t>CML</t>
  </si>
  <si>
    <t>CAPM</t>
  </si>
  <si>
    <t>rf</t>
  </si>
  <si>
    <t>E(rM)-rf</t>
  </si>
  <si>
    <t>&lt;== E(rM)</t>
  </si>
  <si>
    <t>alpha</t>
  </si>
  <si>
    <t>E(rM)</t>
  </si>
  <si>
    <t>sigma M</t>
  </si>
  <si>
    <t>https://vn.investing.com/equities/germany</t>
  </si>
  <si>
    <t>mean return</t>
  </si>
  <si>
    <t>Sartorius Stedim Biotech SA</t>
  </si>
  <si>
    <t>SML: 𝐸(𝑟)= -0,004 + 0,858𝛽</t>
  </si>
  <si>
    <t>M</t>
  </si>
  <si>
    <t>risk free asset</t>
  </si>
  <si>
    <t>MVP</t>
  </si>
  <si>
    <t>&lt;==MINIMUM VARIANCE PORTFOLIO</t>
  </si>
  <si>
    <t>2M</t>
  </si>
  <si>
    <t>3M</t>
  </si>
  <si>
    <t>theta</t>
  </si>
  <si>
    <t>STOCK PRICES DURING 1/2015 - 3/2021</t>
  </si>
  <si>
    <t>Verbio Vereinigte Bioenergie AG</t>
  </si>
  <si>
    <t>VARIANCE - COVARIANCE MATRIX</t>
  </si>
  <si>
    <t>proportion</t>
  </si>
  <si>
    <t>alias</t>
  </si>
  <si>
    <t>PROPORTION OF EACH STOCK IN PORTFOLIO</t>
  </si>
  <si>
    <t>No short sell</t>
  </si>
  <si>
    <t>Short sell</t>
  </si>
  <si>
    <t>Comparing 2 Scenario: Short sell vs. No short sell</t>
  </si>
  <si>
    <t>#1: Using Excel 'data analysis' function</t>
  </si>
  <si>
    <t>#2: Using mmult function</t>
  </si>
  <si>
    <t>#4: Using VBA</t>
  </si>
  <si>
    <t>#3: Using Single Index Model (SIM)</t>
  </si>
  <si>
    <t>RATE OF RETURN</t>
  </si>
  <si>
    <t>RESIDUAL RATE OF RETURN = rij - ri</t>
  </si>
  <si>
    <t>constant c</t>
  </si>
  <si>
    <t>Yearly Average ROR</t>
  </si>
  <si>
    <t>&lt;= Germany 10 year bond interest rate</t>
  </si>
  <si>
    <t>Porfolio M Proportion</t>
  </si>
  <si>
    <t>Stock Code</t>
  </si>
  <si>
    <t>Stocks that be high-evaluated are located upper the SML (alpha &lt; 0) including: HNKG; VOWG_p; DAIGn; BMWG; PSHG_p; FMEG; EONGn; BASFn; CONG; CECG; TKAG; TLXGn.</t>
  </si>
  <si>
    <t>Stocks that be high-evaluated are located lower the SML  (alpha &gt; 0) including: VBKG; SAPG; ALVG; SIEGn; DPWGn; IFXGn; 56S1; ADSGn; PSHG_p; FAAS; SOH1; VNAn; MRCG; DB1Gn; RWEG; MTXGn; DWNG; FMEG; EONGn; BASFn; CONG; CECG; PUMG; MUV2d</t>
  </si>
  <si>
    <t>Average ROR according to CAPM</t>
  </si>
  <si>
    <t>Average ROR</t>
  </si>
  <si>
    <t>Amber Le Ha G
Phone number: +84 868 909 648
Email: amberlearchive@gmail.com</t>
  </si>
  <si>
    <t>Unit: EUR</t>
  </si>
  <si>
    <r>
      <rPr>
        <b/>
        <sz val="11"/>
        <color theme="1"/>
        <rFont val="Arial"/>
        <family val="2"/>
        <charset val="163"/>
        <scheme val="minor"/>
      </rPr>
      <t>Objective: Building an efficient portfolio according to Markowitz Theory. Using the Capital Asset Pricing Model CAPM to evaluate stocks.</t>
    </r>
    <r>
      <rPr>
        <sz val="11"/>
        <color theme="1"/>
        <rFont val="Arial"/>
        <family val="2"/>
        <charset val="163"/>
        <scheme val="minor"/>
      </rPr>
      <t xml:space="preserve">
I collected the price of 30 stocks in the Frankfurt Stock Exchange (Germany) from February 2015 to March 2021. 
How i collected it:
- Diversity of Fields: 
    • FMCG: pharmaceutical and medical industry (Sartorius Stedim Biotech SA, Merck KGaA, Fresenius Medical Care KGAA ST, ...), consumer and retail    (Henkel AG &amp; Co, Adidas, Puma, Ceconomy AG ...), energy quantity (RWE AG),...
    • Fast growing industries: technology (SAP AG, Infineon Technologies AG, Fabasoft AG), Finance (Allianz SE, Vonovia SE, Deutsche Boerse AG, Deutsche Wohnen AG, Muench, Rueckvers, VNA O,N, Talanx AG NA O, N,…),...
   • Long-standing and sustainable growth industries in Germany: chemical (BASF SE,..), Heavy industry (Siemens AG, TU Aero Engines NA, Continental, Thyssenkrupp AG O,N,)....
- Core German industries: Car Manufacturing : Mercedes (Daimler AG), Porsche, BMW, Volkswagen; Chemicals (BASF SE NA O,N,)...
- Financial Ratios based: Choose stocks with medium and high P/E ratios compared to the industry with the expectation of future growth. In addition, I choose based on stable and steady earnings ratios (ROE, ROA) that show the security's earnings growth and future expectations.
- The capitalization is diversified from medium to medium to large. Long-established, large-cap companies that have often moved into the sustainable development stage will form a strong foundation for the portfolio. Mid-cap companies hold great promise at the growing stage, but they also carry many risks. A mix of diversified capitalization companies will diversify portfolio risk.
- Steady growth in price and volume, high trading volume (liquidity) is also a criterion for me to choose the stocks. A good stock not only has a reasonable price line but also comes with a commensurate trading volume.</t>
    </r>
  </si>
  <si>
    <r>
      <rPr>
        <b/>
        <sz val="11"/>
        <color theme="1"/>
        <rFont val="Arial"/>
        <family val="2"/>
        <charset val="163"/>
        <scheme val="minor"/>
      </rPr>
      <t>Tasks:</t>
    </r>
    <r>
      <rPr>
        <sz val="11"/>
        <color theme="1"/>
        <rFont val="Arial"/>
        <family val="2"/>
        <charset val="163"/>
        <scheme val="minor"/>
      </rPr>
      <t xml:space="preserve">
- Calculating Mean, Rate of return (ROR), Variance (Var) and Standard deviation (Sd)
- Calculating Variance-Covariance matrix in 4 ways
- Build Efficient Frontier with Short Selling
- Building Efficient Frontier without Short Selling
- Comparing 2 Efficient Frontier above
- Building CML
- Building SML</t>
    </r>
  </si>
  <si>
    <t>Portfolio P including x &amp; y</t>
  </si>
  <si>
    <t>proportion in x</t>
  </si>
  <si>
    <t>The Global Minimum Variance Portfolio GMVP</t>
  </si>
  <si>
    <t>GMVP</t>
  </si>
  <si>
    <t>It's always a higher return rate when using short selling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</si>
</sst>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%"/>
    <numFmt numFmtId="166" formatCode="0.0000%"/>
    <numFmt numFmtId="167" formatCode="0.0000000"/>
    <numFmt numFmtId="168" formatCode="0.000000"/>
    <numFmt numFmtId="169" formatCode="0.0"/>
    <numFmt numFmtId="170" formatCode="0.00000"/>
    <numFmt numFmtId="171" formatCode="mm\-yyyy"/>
  </numFmts>
  <fonts count="27" x14ac:knownFonts="1"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1"/>
      <color theme="1"/>
      <name val="Arial"/>
      <family val="2"/>
      <charset val="163"/>
      <scheme val="minor"/>
    </font>
    <font>
      <b/>
      <sz val="18"/>
      <color theme="1" tint="4.9989318521683403E-2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b/>
      <sz val="10"/>
      <color theme="1" tint="4.9989318521683403E-2"/>
      <name val="Arial"/>
      <family val="2"/>
      <charset val="163"/>
      <scheme val="minor"/>
    </font>
    <font>
      <sz val="11"/>
      <color rgb="FF000000"/>
      <name val="Arial"/>
      <family val="2"/>
      <charset val="163"/>
      <scheme val="minor"/>
    </font>
    <font>
      <b/>
      <sz val="18"/>
      <color theme="1"/>
      <name val="Arial"/>
      <family val="2"/>
      <charset val="163"/>
      <scheme val="minor"/>
    </font>
    <font>
      <i/>
      <sz val="11"/>
      <color theme="1"/>
      <name val="Arial"/>
      <family val="2"/>
      <charset val="163"/>
      <scheme val="minor"/>
    </font>
    <font>
      <sz val="18"/>
      <color theme="1" tint="4.9989318521683403E-2"/>
      <name val="Arial"/>
      <family val="2"/>
      <charset val="163"/>
      <scheme val="minor"/>
    </font>
    <font>
      <sz val="12"/>
      <color theme="1" tint="4.9989318521683403E-2"/>
      <name val="Arial"/>
      <family val="2"/>
      <charset val="163"/>
      <scheme val="minor"/>
    </font>
    <font>
      <b/>
      <sz val="10"/>
      <name val="Arial"/>
      <family val="2"/>
    </font>
    <font>
      <sz val="16"/>
      <color theme="1"/>
      <name val="Arial"/>
      <family val="2"/>
      <charset val="163"/>
      <scheme val="minor"/>
    </font>
    <font>
      <u/>
      <sz val="11"/>
      <color theme="10"/>
      <name val="Arial"/>
      <family val="2"/>
      <charset val="163"/>
      <scheme val="minor"/>
    </font>
    <font>
      <b/>
      <sz val="14"/>
      <color theme="1"/>
      <name val="Arial"/>
      <family val="2"/>
      <charset val="163"/>
      <scheme val="minor"/>
    </font>
    <font>
      <b/>
      <sz val="11"/>
      <color rgb="FFFF0000"/>
      <name val="Arial"/>
      <family val="2"/>
      <charset val="163"/>
      <scheme val="minor"/>
    </font>
    <font>
      <b/>
      <sz val="8"/>
      <color theme="1" tint="4.9989318521683403E-2"/>
      <name val="Arial"/>
      <family val="2"/>
      <charset val="163"/>
      <scheme val="minor"/>
    </font>
    <font>
      <sz val="8"/>
      <color theme="1"/>
      <name val="Arial"/>
      <family val="2"/>
      <charset val="163"/>
      <scheme val="minor"/>
    </font>
    <font>
      <u/>
      <sz val="8"/>
      <color theme="10"/>
      <name val="Arial"/>
      <family val="2"/>
      <charset val="163"/>
      <scheme val="minor"/>
    </font>
    <font>
      <sz val="8"/>
      <color theme="4" tint="-0.499984740745262"/>
      <name val="Arial"/>
      <family val="2"/>
      <charset val="163"/>
      <scheme val="minor"/>
    </font>
    <font>
      <sz val="8"/>
      <color rgb="FF333333"/>
      <name val="Arial"/>
      <family val="2"/>
      <charset val="163"/>
      <scheme val="minor"/>
    </font>
    <font>
      <sz val="8"/>
      <color theme="1" tint="4.9989318521683403E-2"/>
      <name val="Arial"/>
      <family val="2"/>
      <charset val="163"/>
      <scheme val="minor"/>
    </font>
    <font>
      <sz val="8"/>
      <color rgb="FF000000"/>
      <name val="Arial"/>
      <family val="2"/>
      <charset val="163"/>
      <scheme val="minor"/>
    </font>
    <font>
      <sz val="8"/>
      <color rgb="FF0D0D0D"/>
      <name val="Arial"/>
      <family val="2"/>
      <charset val="163"/>
      <scheme val="minor"/>
    </font>
    <font>
      <b/>
      <sz val="8"/>
      <color theme="1"/>
      <name val="Arial"/>
      <family val="2"/>
      <charset val="163"/>
      <scheme val="minor"/>
    </font>
    <font>
      <b/>
      <sz val="12"/>
      <color theme="1"/>
      <name val="Arial"/>
      <family val="2"/>
      <charset val="163"/>
      <scheme val="minor"/>
    </font>
    <font>
      <b/>
      <sz val="12"/>
      <color theme="1" tint="4.9989318521683403E-2"/>
      <name val="Arial"/>
      <family val="2"/>
      <charset val="163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149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64" fontId="0" fillId="0" borderId="0" xfId="0" applyNumberFormat="1"/>
    <xf numFmtId="10" fontId="0" fillId="0" borderId="0" xfId="1" applyNumberFormat="1" applyFont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2" borderId="1" xfId="0" applyFill="1" applyBorder="1"/>
    <xf numFmtId="0" fontId="8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3" fillId="0" borderId="0" xfId="0" applyFont="1"/>
    <xf numFmtId="166" fontId="0" fillId="0" borderId="0" xfId="1" applyNumberFormat="1" applyFont="1"/>
    <xf numFmtId="0" fontId="2" fillId="3" borderId="0" xfId="0" applyFont="1" applyFill="1" applyAlignment="1">
      <alignment horizontal="center" vertical="center"/>
    </xf>
    <xf numFmtId="167" fontId="0" fillId="0" borderId="4" xfId="0" applyNumberFormat="1" applyBorder="1"/>
    <xf numFmtId="167" fontId="0" fillId="0" borderId="6" xfId="0" applyNumberFormat="1" applyBorder="1"/>
    <xf numFmtId="168" fontId="0" fillId="0" borderId="4" xfId="0" applyNumberFormat="1" applyBorder="1"/>
    <xf numFmtId="168" fontId="0" fillId="0" borderId="6" xfId="0" applyNumberFormat="1" applyBorder="1"/>
    <xf numFmtId="168" fontId="0" fillId="0" borderId="0" xfId="1" applyNumberFormat="1" applyFont="1"/>
    <xf numFmtId="164" fontId="0" fillId="0" borderId="0" xfId="1" applyNumberFormat="1" applyFon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0" fontId="0" fillId="0" borderId="0" xfId="0" applyNumberFormat="1"/>
    <xf numFmtId="0" fontId="11" fillId="0" borderId="10" xfId="0" applyFont="1" applyBorder="1" applyAlignment="1">
      <alignment horizontal="center"/>
    </xf>
    <xf numFmtId="10" fontId="11" fillId="0" borderId="2" xfId="1" applyNumberFormat="1" applyFont="1" applyBorder="1" applyAlignment="1">
      <alignment horizontal="center"/>
    </xf>
    <xf numFmtId="10" fontId="1" fillId="0" borderId="9" xfId="1" applyNumberFormat="1" applyFont="1" applyBorder="1" applyAlignment="1">
      <alignment horizontal="right" vertical="center"/>
    </xf>
    <xf numFmtId="10" fontId="1" fillId="0" borderId="0" xfId="1" applyNumberFormat="1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10" fontId="0" fillId="0" borderId="0" xfId="1" applyNumberFormat="1" applyFont="1" applyBorder="1"/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0" fontId="0" fillId="0" borderId="10" xfId="0" applyNumberFormat="1" applyBorder="1"/>
    <xf numFmtId="164" fontId="0" fillId="0" borderId="2" xfId="0" applyNumberFormat="1" applyBorder="1"/>
    <xf numFmtId="0" fontId="0" fillId="0" borderId="2" xfId="0" applyBorder="1"/>
    <xf numFmtId="0" fontId="0" fillId="0" borderId="3" xfId="0" applyBorder="1"/>
    <xf numFmtId="10" fontId="0" fillId="0" borderId="9" xfId="0" applyNumberFormat="1" applyBorder="1"/>
    <xf numFmtId="10" fontId="0" fillId="0" borderId="9" xfId="1" applyNumberFormat="1" applyFont="1" applyBorder="1"/>
    <xf numFmtId="10" fontId="1" fillId="0" borderId="12" xfId="1" applyNumberFormat="1" applyFont="1" applyBorder="1" applyAlignment="1">
      <alignment horizontal="right" vertical="center"/>
    </xf>
    <xf numFmtId="165" fontId="0" fillId="0" borderId="13" xfId="1" applyNumberFormat="1" applyFont="1" applyBorder="1"/>
    <xf numFmtId="0" fontId="8" fillId="0" borderId="0" xfId="0" applyFont="1" applyAlignment="1">
      <alignment horizontal="center"/>
    </xf>
    <xf numFmtId="10" fontId="0" fillId="0" borderId="6" xfId="0" applyNumberFormat="1" applyBorder="1"/>
    <xf numFmtId="0" fontId="12" fillId="0" borderId="0" xfId="0" applyFont="1" applyAlignment="1">
      <alignment horizontal="left" vertical="center"/>
    </xf>
    <xf numFmtId="10" fontId="0" fillId="5" borderId="0" xfId="0" applyNumberFormat="1" applyFill="1"/>
    <xf numFmtId="0" fontId="6" fillId="0" borderId="13" xfId="0" applyFont="1" applyBorder="1"/>
    <xf numFmtId="0" fontId="5" fillId="2" borderId="1" xfId="0" applyFont="1" applyFill="1" applyBorder="1" applyAlignment="1">
      <alignment horizontal="center" vertical="center"/>
    </xf>
    <xf numFmtId="0" fontId="0" fillId="0" borderId="14" xfId="0" applyBorder="1"/>
    <xf numFmtId="49" fontId="0" fillId="0" borderId="0" xfId="1" applyNumberFormat="1" applyFont="1"/>
    <xf numFmtId="49" fontId="0" fillId="0" borderId="0" xfId="0" applyNumberFormat="1"/>
    <xf numFmtId="0" fontId="0" fillId="2" borderId="0" xfId="0" applyFill="1"/>
    <xf numFmtId="0" fontId="5" fillId="6" borderId="13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1" applyNumberFormat="1" applyFont="1" applyFill="1" applyBorder="1"/>
    <xf numFmtId="168" fontId="0" fillId="0" borderId="0" xfId="0" applyNumberFormat="1"/>
    <xf numFmtId="165" fontId="0" fillId="0" borderId="15" xfId="1" applyNumberFormat="1" applyFont="1" applyBorder="1"/>
    <xf numFmtId="170" fontId="0" fillId="0" borderId="0" xfId="0" applyNumberFormat="1"/>
    <xf numFmtId="170" fontId="0" fillId="0" borderId="7" xfId="0" applyNumberFormat="1" applyBorder="1"/>
    <xf numFmtId="10" fontId="0" fillId="3" borderId="2" xfId="1" applyNumberFormat="1" applyFont="1" applyFill="1" applyBorder="1"/>
    <xf numFmtId="10" fontId="0" fillId="3" borderId="0" xfId="1" applyNumberFormat="1" applyFont="1" applyFill="1" applyBorder="1"/>
    <xf numFmtId="10" fontId="1" fillId="3" borderId="0" xfId="1" applyNumberFormat="1" applyFont="1" applyFill="1" applyBorder="1" applyAlignment="1">
      <alignment horizontal="right" vertical="center"/>
    </xf>
    <xf numFmtId="169" fontId="0" fillId="0" borderId="0" xfId="0" applyNumberFormat="1"/>
    <xf numFmtId="10" fontId="0" fillId="3" borderId="7" xfId="1" applyNumberFormat="1" applyFont="1" applyFill="1" applyBorder="1"/>
    <xf numFmtId="10" fontId="0" fillId="7" borderId="0" xfId="0" applyNumberFormat="1" applyFill="1"/>
    <xf numFmtId="0" fontId="0" fillId="7" borderId="0" xfId="0" applyFill="1"/>
    <xf numFmtId="10" fontId="0" fillId="7" borderId="0" xfId="1" applyNumberFormat="1" applyFont="1" applyFill="1"/>
    <xf numFmtId="167" fontId="0" fillId="0" borderId="0" xfId="0" applyNumberFormat="1"/>
    <xf numFmtId="166" fontId="0" fillId="5" borderId="14" xfId="1" applyNumberFormat="1" applyFont="1" applyFill="1" applyBorder="1"/>
    <xf numFmtId="10" fontId="0" fillId="6" borderId="0" xfId="0" applyNumberFormat="1" applyFill="1"/>
    <xf numFmtId="0" fontId="8" fillId="0" borderId="0" xfId="0" applyFont="1" applyAlignment="1">
      <alignment horizontal="centerContinuous"/>
    </xf>
    <xf numFmtId="10" fontId="0" fillId="0" borderId="0" xfId="1" applyNumberFormat="1" applyFont="1" applyFill="1" applyBorder="1"/>
    <xf numFmtId="165" fontId="0" fillId="0" borderId="0" xfId="0" applyNumberFormat="1"/>
    <xf numFmtId="168" fontId="0" fillId="0" borderId="0" xfId="1" applyNumberFormat="1" applyFont="1" applyFill="1"/>
    <xf numFmtId="10" fontId="0" fillId="0" borderId="0" xfId="1" applyNumberFormat="1" applyFont="1" applyFill="1"/>
    <xf numFmtId="0" fontId="0" fillId="0" borderId="0" xfId="0" applyAlignment="1">
      <alignment horizontal="left"/>
    </xf>
    <xf numFmtId="169" fontId="0" fillId="0" borderId="0" xfId="1" applyNumberFormat="1" applyFont="1" applyFill="1"/>
    <xf numFmtId="0" fontId="2" fillId="8" borderId="0" xfId="0" applyFont="1" applyFill="1"/>
    <xf numFmtId="165" fontId="0" fillId="0" borderId="16" xfId="1" applyNumberFormat="1" applyFont="1" applyBorder="1"/>
    <xf numFmtId="9" fontId="0" fillId="0" borderId="0" xfId="1" applyFont="1" applyFill="1" applyBorder="1"/>
    <xf numFmtId="170" fontId="0" fillId="0" borderId="0" xfId="1" applyNumberFormat="1" applyFont="1"/>
    <xf numFmtId="170" fontId="0" fillId="0" borderId="0" xfId="1" applyNumberFormat="1" applyFont="1" applyFill="1" applyBorder="1"/>
    <xf numFmtId="10" fontId="1" fillId="0" borderId="0" xfId="1" applyNumberFormat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 wrapText="1"/>
    </xf>
    <xf numFmtId="2" fontId="0" fillId="0" borderId="4" xfId="0" applyNumberFormat="1" applyBorder="1"/>
    <xf numFmtId="1" fontId="0" fillId="0" borderId="0" xfId="0" applyNumberFormat="1"/>
    <xf numFmtId="170" fontId="0" fillId="0" borderId="4" xfId="0" applyNumberFormat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5" fillId="0" borderId="0" xfId="0" applyFont="1"/>
    <xf numFmtId="0" fontId="17" fillId="0" borderId="0" xfId="0" applyFont="1"/>
    <xf numFmtId="0" fontId="18" fillId="0" borderId="0" xfId="2" applyFont="1"/>
    <xf numFmtId="0" fontId="19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5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2" fontId="17" fillId="0" borderId="0" xfId="0" applyNumberFormat="1" applyFont="1"/>
    <xf numFmtId="2" fontId="21" fillId="0" borderId="0" xfId="0" applyNumberFormat="1" applyFont="1"/>
    <xf numFmtId="2" fontId="22" fillId="0" borderId="0" xfId="0" applyNumberFormat="1" applyFont="1" applyAlignment="1">
      <alignment horizontal="right" wrapText="1"/>
    </xf>
    <xf numFmtId="2" fontId="21" fillId="0" borderId="0" xfId="0" applyNumberFormat="1" applyFont="1" applyAlignment="1">
      <alignment horizontal="right" wrapText="1"/>
    </xf>
    <xf numFmtId="2" fontId="23" fillId="0" borderId="0" xfId="0" applyNumberFormat="1" applyFont="1" applyAlignment="1">
      <alignment horizontal="right" wrapText="1"/>
    </xf>
    <xf numFmtId="2" fontId="22" fillId="0" borderId="5" xfId="0" applyNumberFormat="1" applyFont="1" applyBorder="1" applyAlignment="1">
      <alignment horizontal="right" wrapText="1"/>
    </xf>
    <xf numFmtId="0" fontId="17" fillId="0" borderId="4" xfId="0" applyFont="1" applyBorder="1"/>
    <xf numFmtId="2" fontId="17" fillId="0" borderId="7" xfId="0" applyNumberFormat="1" applyFont="1" applyBorder="1"/>
    <xf numFmtId="2" fontId="21" fillId="0" borderId="7" xfId="0" applyNumberFormat="1" applyFont="1" applyBorder="1"/>
    <xf numFmtId="2" fontId="22" fillId="0" borderId="7" xfId="0" applyNumberFormat="1" applyFont="1" applyBorder="1" applyAlignment="1">
      <alignment horizontal="right" wrapText="1"/>
    </xf>
    <xf numFmtId="2" fontId="21" fillId="0" borderId="7" xfId="0" applyNumberFormat="1" applyFont="1" applyBorder="1" applyAlignment="1">
      <alignment horizontal="right" wrapText="1"/>
    </xf>
    <xf numFmtId="2" fontId="23" fillId="0" borderId="7" xfId="0" applyNumberFormat="1" applyFont="1" applyBorder="1" applyAlignment="1">
      <alignment horizontal="right" wrapText="1"/>
    </xf>
    <xf numFmtId="2" fontId="22" fillId="0" borderId="8" xfId="0" applyNumberFormat="1" applyFont="1" applyBorder="1" applyAlignment="1">
      <alignment horizontal="right" wrapText="1"/>
    </xf>
    <xf numFmtId="0" fontId="17" fillId="0" borderId="6" xfId="0" applyFont="1" applyBorder="1"/>
    <xf numFmtId="171" fontId="16" fillId="2" borderId="4" xfId="0" applyNumberFormat="1" applyFont="1" applyFill="1" applyBorder="1"/>
    <xf numFmtId="164" fontId="17" fillId="0" borderId="0" xfId="0" applyNumberFormat="1" applyFont="1"/>
    <xf numFmtId="171" fontId="16" fillId="2" borderId="6" xfId="0" applyNumberFormat="1" applyFont="1" applyFill="1" applyBorder="1"/>
    <xf numFmtId="0" fontId="24" fillId="2" borderId="1" xfId="0" applyFont="1" applyFill="1" applyBorder="1"/>
    <xf numFmtId="10" fontId="17" fillId="0" borderId="2" xfId="1" applyNumberFormat="1" applyFont="1" applyBorder="1"/>
    <xf numFmtId="10" fontId="17" fillId="0" borderId="3" xfId="1" applyNumberFormat="1" applyFont="1" applyBorder="1"/>
    <xf numFmtId="0" fontId="24" fillId="2" borderId="4" xfId="0" applyFont="1" applyFill="1" applyBorder="1"/>
    <xf numFmtId="0" fontId="17" fillId="0" borderId="5" xfId="0" applyFont="1" applyBorder="1"/>
    <xf numFmtId="0" fontId="24" fillId="2" borderId="6" xfId="0" applyFont="1" applyFill="1" applyBorder="1"/>
    <xf numFmtId="0" fontId="17" fillId="0" borderId="7" xfId="0" applyFont="1" applyBorder="1"/>
    <xf numFmtId="0" fontId="17" fillId="0" borderId="8" xfId="0" applyFont="1" applyBorder="1"/>
    <xf numFmtId="0" fontId="0" fillId="11" borderId="0" xfId="0" applyFill="1" applyAlignment="1">
      <alignment horizontal="left" vertical="center" wrapText="1"/>
    </xf>
    <xf numFmtId="0" fontId="0" fillId="12" borderId="0" xfId="0" applyFill="1" applyAlignment="1">
      <alignment horizontal="left" vertical="top" wrapText="1"/>
    </xf>
    <xf numFmtId="0" fontId="0" fillId="10" borderId="0" xfId="0" applyFill="1" applyAlignment="1">
      <alignment horizontal="left" vertical="top" wrapText="1"/>
    </xf>
    <xf numFmtId="0" fontId="26" fillId="2" borderId="0" xfId="0" applyFont="1" applyFill="1" applyAlignment="1">
      <alignment horizontal="center"/>
    </xf>
    <xf numFmtId="0" fontId="25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0" fillId="7" borderId="0" xfId="0" applyNumberFormat="1" applyFill="1" applyAlignment="1">
      <alignment horizontal="center" wrapText="1"/>
    </xf>
    <xf numFmtId="0" fontId="7" fillId="6" borderId="13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14" fillId="9" borderId="0" xfId="0" applyFont="1" applyFill="1" applyAlignment="1">
      <alignment horizontal="left"/>
    </xf>
  </cellXfs>
  <cellStyles count="3">
    <cellStyle name="Bình thường" xfId="0" builtinId="0"/>
    <cellStyle name="Phần trăm" xfId="1" builtinId="5"/>
    <cellStyle name="Siêu kết nối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latin typeface="Calibri (Thân)"/>
              </a:rPr>
              <a:t>The Invesment</a:t>
            </a:r>
            <a:r>
              <a:rPr lang="en-US" sz="1600" baseline="0">
                <a:latin typeface="Calibri (Thân)"/>
              </a:rPr>
              <a:t> Opportunity Curve</a:t>
            </a:r>
            <a:endParaRPr lang="vi-VN" sz="1600">
              <a:latin typeface="Calibri (Thân)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SS'!$B$80:$B$127</c:f>
              <c:numCache>
                <c:formatCode>0.00%</c:formatCode>
                <c:ptCount val="48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2.5674736818407123E-2</c:v>
                </c:pt>
                <c:pt idx="44">
                  <c:v>2.6175725499953048E-2</c:v>
                </c:pt>
                <c:pt idx="45">
                  <c:v>2.7050152646120748E-2</c:v>
                </c:pt>
                <c:pt idx="47">
                  <c:v>2.5569146914106472E-2</c:v>
                </c:pt>
              </c:numCache>
            </c:numRef>
          </c:xVal>
          <c:yVal>
            <c:numRef>
              <c:f>'EfficientFrontier w SS'!$C$80:$C$127</c:f>
              <c:numCache>
                <c:formatCode>0.00%</c:formatCode>
                <c:ptCount val="48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5.7985590945497656E-3</c:v>
                </c:pt>
                <c:pt idx="44">
                  <c:v>2.1032525506798072E-3</c:v>
                </c:pt>
                <c:pt idx="45">
                  <c:v>-1.5920539931901789E-3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F-4A86-A112-1B2E806E2C06}"/>
            </c:ext>
          </c:extLst>
        </c:ser>
        <c:ser>
          <c:idx val="1"/>
          <c:order val="1"/>
          <c:spPr>
            <a:ln w="50800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SS'!$B$80:$B$127</c:f>
              <c:numCache>
                <c:formatCode>0.00%</c:formatCode>
                <c:ptCount val="48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2.5674736818407123E-2</c:v>
                </c:pt>
                <c:pt idx="44">
                  <c:v>2.6175725499953048E-2</c:v>
                </c:pt>
                <c:pt idx="45">
                  <c:v>2.7050152646120748E-2</c:v>
                </c:pt>
                <c:pt idx="47">
                  <c:v>2.5569146914106472E-2</c:v>
                </c:pt>
              </c:numCache>
            </c:numRef>
          </c:xVal>
          <c:yVal>
            <c:numRef>
              <c:f>'EfficientFrontier w SS'!$D$80:$D$127</c:f>
              <c:numCache>
                <c:formatCode>0.00%</c:formatCode>
                <c:ptCount val="48"/>
                <c:pt idx="47">
                  <c:v>8.6184502815443986E-3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EF-4A86-A112-1B2E806E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14879"/>
        <c:axId val="541415295"/>
      </c:scatterChart>
      <c:valAx>
        <c:axId val="541414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415295"/>
        <c:crosses val="autoZero"/>
        <c:crossBetween val="midCat"/>
      </c:valAx>
      <c:valAx>
        <c:axId val="54141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414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</a:t>
            </a:r>
            <a:r>
              <a:rPr lang="en-US" baseline="0"/>
              <a:t> FRONTIER WITH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SS'!$B$134:$B$180</c:f>
              <c:numCache>
                <c:formatCode>0.00%</c:formatCode>
                <c:ptCount val="47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2.5569146914106472E-2</c:v>
                </c:pt>
                <c:pt idx="44">
                  <c:v>2.5674736818407123E-2</c:v>
                </c:pt>
                <c:pt idx="45">
                  <c:v>2.6175725499953048E-2</c:v>
                </c:pt>
                <c:pt idx="46">
                  <c:v>2.7050152646120748E-2</c:v>
                </c:pt>
              </c:numCache>
            </c:numRef>
          </c:xVal>
          <c:yVal>
            <c:numRef>
              <c:f>'EfficientFrontier w SS'!$C$134:$C$180</c:f>
              <c:numCache>
                <c:formatCode>0.00%</c:formatCode>
                <c:ptCount val="47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8.6184502815443986E-3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8-4EFC-858E-4EA6A3A58FEE}"/>
            </c:ext>
          </c:extLst>
        </c:ser>
        <c:ser>
          <c:idx val="1"/>
          <c:order val="1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SS'!$B$134:$B$180</c:f>
              <c:numCache>
                <c:formatCode>0.00%</c:formatCode>
                <c:ptCount val="47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2.5569146914106472E-2</c:v>
                </c:pt>
                <c:pt idx="44">
                  <c:v>2.5674736818407123E-2</c:v>
                </c:pt>
                <c:pt idx="45">
                  <c:v>2.6175725499953048E-2</c:v>
                </c:pt>
                <c:pt idx="46">
                  <c:v>2.7050152646120748E-2</c:v>
                </c:pt>
              </c:numCache>
            </c:numRef>
          </c:xVal>
          <c:yVal>
            <c:numRef>
              <c:f>'EfficientFrontier w SS'!$D$134:$D$180</c:f>
              <c:numCache>
                <c:formatCode>0.00%</c:formatCode>
                <c:ptCount val="47"/>
                <c:pt idx="44">
                  <c:v>5.7985590945497656E-3</c:v>
                </c:pt>
                <c:pt idx="45">
                  <c:v>2.1032525506798072E-3</c:v>
                </c:pt>
                <c:pt idx="46">
                  <c:v>-1.5920539931901789E-3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8-4EFC-858E-4EA6A3A58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24400"/>
        <c:axId val="781831056"/>
      </c:scatterChart>
      <c:valAx>
        <c:axId val="78182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81831056"/>
        <c:crosses val="autoZero"/>
        <c:crossBetween val="midCat"/>
      </c:valAx>
      <c:valAx>
        <c:axId val="7818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8182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</a:rPr>
              <a:t>EFFICIENT FRONTIER WITHOUT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 Frontier wo SS'!$B$175:$B$275</c:f>
              <c:numCache>
                <c:formatCode>0.00%</c:formatCode>
                <c:ptCount val="101"/>
                <c:pt idx="0">
                  <c:v>3.5259032765535839E-2</c:v>
                </c:pt>
                <c:pt idx="1">
                  <c:v>3.5654877638764522E-2</c:v>
                </c:pt>
                <c:pt idx="2">
                  <c:v>3.5553577044688991E-2</c:v>
                </c:pt>
                <c:pt idx="3">
                  <c:v>3.555918862266217E-2</c:v>
                </c:pt>
                <c:pt idx="4">
                  <c:v>3.555918862266217E-2</c:v>
                </c:pt>
                <c:pt idx="5">
                  <c:v>3.555918862266217E-2</c:v>
                </c:pt>
                <c:pt idx="6">
                  <c:v>3.555918862266217E-2</c:v>
                </c:pt>
                <c:pt idx="7">
                  <c:v>3.555918862266217E-2</c:v>
                </c:pt>
                <c:pt idx="8">
                  <c:v>3.5608839777068343E-2</c:v>
                </c:pt>
                <c:pt idx="9">
                  <c:v>3.5608839777068343E-2</c:v>
                </c:pt>
                <c:pt idx="10">
                  <c:v>3.5608839777068343E-2</c:v>
                </c:pt>
                <c:pt idx="11">
                  <c:v>3.5608839777068343E-2</c:v>
                </c:pt>
                <c:pt idx="12">
                  <c:v>3.5608839777068343E-2</c:v>
                </c:pt>
                <c:pt idx="13">
                  <c:v>3.5664944954026313E-2</c:v>
                </c:pt>
                <c:pt idx="14">
                  <c:v>3.5664944954026313E-2</c:v>
                </c:pt>
                <c:pt idx="15">
                  <c:v>3.5664944954026313E-2</c:v>
                </c:pt>
                <c:pt idx="16">
                  <c:v>3.5664944954026313E-2</c:v>
                </c:pt>
                <c:pt idx="17">
                  <c:v>3.5716483783655294E-2</c:v>
                </c:pt>
                <c:pt idx="18">
                  <c:v>3.5716483783655294E-2</c:v>
                </c:pt>
                <c:pt idx="19">
                  <c:v>3.5716483783655294E-2</c:v>
                </c:pt>
                <c:pt idx="20">
                  <c:v>3.5716483783655294E-2</c:v>
                </c:pt>
                <c:pt idx="21">
                  <c:v>3.5789072000556588E-2</c:v>
                </c:pt>
                <c:pt idx="22">
                  <c:v>3.5789072000556588E-2</c:v>
                </c:pt>
                <c:pt idx="23">
                  <c:v>3.5789072000556588E-2</c:v>
                </c:pt>
                <c:pt idx="24">
                  <c:v>3.5842403944040348E-2</c:v>
                </c:pt>
                <c:pt idx="25">
                  <c:v>3.5842403944040348E-2</c:v>
                </c:pt>
                <c:pt idx="26">
                  <c:v>3.5842403944040348E-2</c:v>
                </c:pt>
                <c:pt idx="27">
                  <c:v>3.5919781189531222E-2</c:v>
                </c:pt>
                <c:pt idx="28">
                  <c:v>3.5919781189531222E-2</c:v>
                </c:pt>
                <c:pt idx="29">
                  <c:v>3.5919781189531222E-2</c:v>
                </c:pt>
                <c:pt idx="30">
                  <c:v>3.6003487245090962E-2</c:v>
                </c:pt>
                <c:pt idx="31">
                  <c:v>3.6003487245090962E-2</c:v>
                </c:pt>
                <c:pt idx="32">
                  <c:v>3.6054543846644756E-2</c:v>
                </c:pt>
                <c:pt idx="33">
                  <c:v>3.6054543846644756E-2</c:v>
                </c:pt>
                <c:pt idx="34">
                  <c:v>3.6117008027973962E-2</c:v>
                </c:pt>
                <c:pt idx="35">
                  <c:v>3.6117008027973962E-2</c:v>
                </c:pt>
                <c:pt idx="36">
                  <c:v>3.6194020961830657E-2</c:v>
                </c:pt>
                <c:pt idx="37">
                  <c:v>3.6194020961830657E-2</c:v>
                </c:pt>
                <c:pt idx="38">
                  <c:v>3.6270962605546152E-2</c:v>
                </c:pt>
                <c:pt idx="39">
                  <c:v>3.6270962605546152E-2</c:v>
                </c:pt>
                <c:pt idx="40">
                  <c:v>3.6386156506113765E-2</c:v>
                </c:pt>
                <c:pt idx="41">
                  <c:v>3.6386156506113765E-2</c:v>
                </c:pt>
                <c:pt idx="42">
                  <c:v>3.6489309714133236E-2</c:v>
                </c:pt>
                <c:pt idx="43">
                  <c:v>3.6489309714133236E-2</c:v>
                </c:pt>
                <c:pt idx="44">
                  <c:v>3.6624042926230997E-2</c:v>
                </c:pt>
                <c:pt idx="45">
                  <c:v>3.6693239415981099E-2</c:v>
                </c:pt>
                <c:pt idx="46">
                  <c:v>3.6769796312733263E-2</c:v>
                </c:pt>
                <c:pt idx="47">
                  <c:v>3.6855006639186901E-2</c:v>
                </c:pt>
                <c:pt idx="48">
                  <c:v>3.6950388682939969E-2</c:v>
                </c:pt>
                <c:pt idx="49">
                  <c:v>3.7050080795065748E-2</c:v>
                </c:pt>
                <c:pt idx="50">
                  <c:v>3.7160936744264864E-2</c:v>
                </c:pt>
                <c:pt idx="51">
                  <c:v>3.7283105261932015E-2</c:v>
                </c:pt>
                <c:pt idx="52">
                  <c:v>3.7418443573175517E-2</c:v>
                </c:pt>
                <c:pt idx="53">
                  <c:v>3.7568487843165729E-2</c:v>
                </c:pt>
                <c:pt idx="54">
                  <c:v>3.7735372697748321E-2</c:v>
                </c:pt>
                <c:pt idx="55">
                  <c:v>3.7925970483455987E-2</c:v>
                </c:pt>
                <c:pt idx="56">
                  <c:v>3.8128608475406701E-2</c:v>
                </c:pt>
                <c:pt idx="57">
                  <c:v>3.8364360769173253E-2</c:v>
                </c:pt>
                <c:pt idx="58">
                  <c:v>3.8629261810915291E-2</c:v>
                </c:pt>
                <c:pt idx="59">
                  <c:v>3.8930684555753929E-2</c:v>
                </c:pt>
                <c:pt idx="60">
                  <c:v>3.9270992523672311E-2</c:v>
                </c:pt>
                <c:pt idx="61">
                  <c:v>3.9668414437335445E-2</c:v>
                </c:pt>
                <c:pt idx="62">
                  <c:v>4.0117287987212175E-2</c:v>
                </c:pt>
                <c:pt idx="63">
                  <c:v>4.0654444687291853E-2</c:v>
                </c:pt>
                <c:pt idx="64">
                  <c:v>4.128126164539183E-2</c:v>
                </c:pt>
                <c:pt idx="65">
                  <c:v>4.2013526335945135E-2</c:v>
                </c:pt>
                <c:pt idx="66">
                  <c:v>4.290231365135757E-2</c:v>
                </c:pt>
                <c:pt idx="67">
                  <c:v>4.3950911554823918E-2</c:v>
                </c:pt>
                <c:pt idx="68">
                  <c:v>4.4737672765989243E-2</c:v>
                </c:pt>
                <c:pt idx="69">
                  <c:v>4.5461251162145479E-2</c:v>
                </c:pt>
                <c:pt idx="70">
                  <c:v>4.6297255809492836E-2</c:v>
                </c:pt>
                <c:pt idx="71">
                  <c:v>4.7320853326737994E-2</c:v>
                </c:pt>
                <c:pt idx="72">
                  <c:v>4.8591630000914897E-2</c:v>
                </c:pt>
                <c:pt idx="73">
                  <c:v>4.9588441351101818E-2</c:v>
                </c:pt>
                <c:pt idx="74">
                  <c:v>5.0943445780731615E-2</c:v>
                </c:pt>
                <c:pt idx="75">
                  <c:v>5.1224628545397062E-2</c:v>
                </c:pt>
                <c:pt idx="76">
                  <c:v>5.1562878308333331E-2</c:v>
                </c:pt>
                <c:pt idx="77">
                  <c:v>5.1993373238166163E-2</c:v>
                </c:pt>
                <c:pt idx="78">
                  <c:v>5.2532413433624546E-2</c:v>
                </c:pt>
                <c:pt idx="79">
                  <c:v>5.3233308734308621E-2</c:v>
                </c:pt>
                <c:pt idx="80">
                  <c:v>5.4166982208089479E-2</c:v>
                </c:pt>
                <c:pt idx="81">
                  <c:v>5.5447249260766732E-2</c:v>
                </c:pt>
                <c:pt idx="82">
                  <c:v>5.7070953159078633E-2</c:v>
                </c:pt>
                <c:pt idx="83">
                  <c:v>5.8454321422199272E-2</c:v>
                </c:pt>
                <c:pt idx="84">
                  <c:v>6.1109563929814446E-2</c:v>
                </c:pt>
                <c:pt idx="85">
                  <c:v>6.5032307023993347E-2</c:v>
                </c:pt>
                <c:pt idx="86">
                  <c:v>6.5690855974735965E-2</c:v>
                </c:pt>
                <c:pt idx="87">
                  <c:v>6.6309903658477221E-2</c:v>
                </c:pt>
                <c:pt idx="88">
                  <c:v>6.7394794842985786E-2</c:v>
                </c:pt>
                <c:pt idx="89">
                  <c:v>6.9555187819740627E-2</c:v>
                </c:pt>
                <c:pt idx="90">
                  <c:v>7.4598734767509389E-2</c:v>
                </c:pt>
                <c:pt idx="91">
                  <c:v>9.0909929898639191E-2</c:v>
                </c:pt>
                <c:pt idx="92">
                  <c:v>0.16069061140532118</c:v>
                </c:pt>
                <c:pt idx="93">
                  <c:v>0.16069061140532118</c:v>
                </c:pt>
                <c:pt idx="94">
                  <c:v>0.16069061140532118</c:v>
                </c:pt>
                <c:pt idx="95">
                  <c:v>0.16069061140532118</c:v>
                </c:pt>
                <c:pt idx="96">
                  <c:v>0.16069061140532118</c:v>
                </c:pt>
                <c:pt idx="97">
                  <c:v>0.16069061140532118</c:v>
                </c:pt>
                <c:pt idx="98">
                  <c:v>0.16069061140532118</c:v>
                </c:pt>
                <c:pt idx="99">
                  <c:v>0.16069061140532118</c:v>
                </c:pt>
                <c:pt idx="100">
                  <c:v>0.16069061140532118</c:v>
                </c:pt>
              </c:numCache>
            </c:numRef>
          </c:xVal>
          <c:yVal>
            <c:numRef>
              <c:f>'Efficient Frontier wo SS'!$C$175:$C$275</c:f>
              <c:numCache>
                <c:formatCode>0.00%</c:formatCode>
                <c:ptCount val="101"/>
                <c:pt idx="0">
                  <c:v>1.0016520520072245E-2</c:v>
                </c:pt>
                <c:pt idx="1">
                  <c:v>1.3010320917839983E-2</c:v>
                </c:pt>
                <c:pt idx="2">
                  <c:v>1.2668072222923875E-2</c:v>
                </c:pt>
                <c:pt idx="3">
                  <c:v>1.2693248175831503E-2</c:v>
                </c:pt>
                <c:pt idx="4">
                  <c:v>1.2693248175831503E-2</c:v>
                </c:pt>
                <c:pt idx="5">
                  <c:v>1.2693248175831503E-2</c:v>
                </c:pt>
                <c:pt idx="6">
                  <c:v>1.2693248175831503E-2</c:v>
                </c:pt>
                <c:pt idx="7">
                  <c:v>1.2693248175831503E-2</c:v>
                </c:pt>
                <c:pt idx="8">
                  <c:v>1.2906410596542904E-2</c:v>
                </c:pt>
                <c:pt idx="9">
                  <c:v>1.2906410596542904E-2</c:v>
                </c:pt>
                <c:pt idx="10">
                  <c:v>1.2906410596542904E-2</c:v>
                </c:pt>
                <c:pt idx="11">
                  <c:v>1.2906410596542904E-2</c:v>
                </c:pt>
                <c:pt idx="12">
                  <c:v>1.2906410596542904E-2</c:v>
                </c:pt>
                <c:pt idx="13">
                  <c:v>1.3129734158328722E-2</c:v>
                </c:pt>
                <c:pt idx="14">
                  <c:v>1.3129734158328722E-2</c:v>
                </c:pt>
                <c:pt idx="15">
                  <c:v>1.3129734158328722E-2</c:v>
                </c:pt>
                <c:pt idx="16">
                  <c:v>1.3129734158328722E-2</c:v>
                </c:pt>
                <c:pt idx="17">
                  <c:v>1.332197631492887E-2</c:v>
                </c:pt>
                <c:pt idx="18">
                  <c:v>1.332197631492887E-2</c:v>
                </c:pt>
                <c:pt idx="19">
                  <c:v>1.332197631492887E-2</c:v>
                </c:pt>
                <c:pt idx="20">
                  <c:v>1.332197631492887E-2</c:v>
                </c:pt>
                <c:pt idx="21">
                  <c:v>1.3577847801441452E-2</c:v>
                </c:pt>
                <c:pt idx="22">
                  <c:v>1.3577847801441452E-2</c:v>
                </c:pt>
                <c:pt idx="23">
                  <c:v>1.3577847801441452E-2</c:v>
                </c:pt>
                <c:pt idx="24">
                  <c:v>1.375443767226023E-2</c:v>
                </c:pt>
                <c:pt idx="25">
                  <c:v>1.375443767226023E-2</c:v>
                </c:pt>
                <c:pt idx="26">
                  <c:v>1.375443767226023E-2</c:v>
                </c:pt>
                <c:pt idx="27">
                  <c:v>1.3998835314379374E-2</c:v>
                </c:pt>
                <c:pt idx="28">
                  <c:v>1.3998835314379374E-2</c:v>
                </c:pt>
                <c:pt idx="29">
                  <c:v>1.3998835314379374E-2</c:v>
                </c:pt>
                <c:pt idx="30">
                  <c:v>1.4248001575182979E-2</c:v>
                </c:pt>
                <c:pt idx="31">
                  <c:v>1.4248001575182979E-2</c:v>
                </c:pt>
                <c:pt idx="32">
                  <c:v>1.4392981740456241E-2</c:v>
                </c:pt>
                <c:pt idx="33">
                  <c:v>1.4392981740456241E-2</c:v>
                </c:pt>
                <c:pt idx="34">
                  <c:v>1.4563579709151604E-2</c:v>
                </c:pt>
                <c:pt idx="35">
                  <c:v>1.4563579709151604E-2</c:v>
                </c:pt>
                <c:pt idx="36">
                  <c:v>1.4766007227053842E-2</c:v>
                </c:pt>
                <c:pt idx="37">
                  <c:v>1.4766007227053842E-2</c:v>
                </c:pt>
                <c:pt idx="38">
                  <c:v>1.4958941575360405E-2</c:v>
                </c:pt>
                <c:pt idx="39">
                  <c:v>1.4958941575360405E-2</c:v>
                </c:pt>
                <c:pt idx="40">
                  <c:v>1.524114091857399E-2</c:v>
                </c:pt>
                <c:pt idx="41">
                  <c:v>1.524114091857399E-2</c:v>
                </c:pt>
                <c:pt idx="42">
                  <c:v>1.5477016692037928E-2</c:v>
                </c:pt>
                <c:pt idx="43">
                  <c:v>1.5477016692037928E-2</c:v>
                </c:pt>
                <c:pt idx="44">
                  <c:v>1.577253215173767E-2</c:v>
                </c:pt>
                <c:pt idx="45">
                  <c:v>1.5917562449822412E-2</c:v>
                </c:pt>
                <c:pt idx="46">
                  <c:v>1.6073896708605696E-2</c:v>
                </c:pt>
                <c:pt idx="47">
                  <c:v>1.6243291671238537E-2</c:v>
                </c:pt>
                <c:pt idx="48">
                  <c:v>1.6427984552942552E-2</c:v>
                </c:pt>
                <c:pt idx="49">
                  <c:v>1.6615298777289574E-2</c:v>
                </c:pt>
                <c:pt idx="50">
                  <c:v>1.6817643977983465E-2</c:v>
                </c:pt>
                <c:pt idx="51">
                  <c:v>1.703406723720358E-2</c:v>
                </c:pt>
                <c:pt idx="52">
                  <c:v>1.7266551655247597E-2</c:v>
                </c:pt>
                <c:pt idx="53">
                  <c:v>1.7516252865518521E-2</c:v>
                </c:pt>
                <c:pt idx="54">
                  <c:v>1.7785065909444665E-2</c:v>
                </c:pt>
                <c:pt idx="55">
                  <c:v>1.8081980003544128E-2</c:v>
                </c:pt>
                <c:pt idx="56">
                  <c:v>1.8386787146809816E-2</c:v>
                </c:pt>
                <c:pt idx="57">
                  <c:v>1.8729142468904236E-2</c:v>
                </c:pt>
                <c:pt idx="58">
                  <c:v>1.9099962507162664E-2</c:v>
                </c:pt>
                <c:pt idx="59">
                  <c:v>1.9506509856527049E-2</c:v>
                </c:pt>
                <c:pt idx="60">
                  <c:v>1.9947821495769E-2</c:v>
                </c:pt>
                <c:pt idx="61">
                  <c:v>2.0443133974140708E-2</c:v>
                </c:pt>
                <c:pt idx="62">
                  <c:v>2.097983359729743E-2</c:v>
                </c:pt>
                <c:pt idx="63">
                  <c:v>2.1595596123756382E-2</c:v>
                </c:pt>
                <c:pt idx="64">
                  <c:v>2.2282910856320823E-2</c:v>
                </c:pt>
                <c:pt idx="65">
                  <c:v>2.3050200093624251E-2</c:v>
                </c:pt>
                <c:pt idx="66">
                  <c:v>2.3939654424300079E-2</c:v>
                </c:pt>
                <c:pt idx="67">
                  <c:v>2.4939699116115883E-2</c:v>
                </c:pt>
                <c:pt idx="68">
                  <c:v>2.5657871836915359E-2</c:v>
                </c:pt>
                <c:pt idx="69">
                  <c:v>2.6284918699991316E-2</c:v>
                </c:pt>
                <c:pt idx="70">
                  <c:v>2.6970102555683963E-2</c:v>
                </c:pt>
                <c:pt idx="71">
                  <c:v>2.7764780624981996E-2</c:v>
                </c:pt>
                <c:pt idx="72">
                  <c:v>2.8697625971879585E-2</c:v>
                </c:pt>
                <c:pt idx="73">
                  <c:v>2.9388339009983125E-2</c:v>
                </c:pt>
                <c:pt idx="74">
                  <c:v>3.0284354704592689E-2</c:v>
                </c:pt>
                <c:pt idx="75">
                  <c:v>3.0457012744117579E-2</c:v>
                </c:pt>
                <c:pt idx="76">
                  <c:v>3.0651300765092985E-2</c:v>
                </c:pt>
                <c:pt idx="77">
                  <c:v>3.0884105161689095E-2</c:v>
                </c:pt>
                <c:pt idx="78">
                  <c:v>3.1152059673179092E-2</c:v>
                </c:pt>
                <c:pt idx="79">
                  <c:v>3.1473751367641835E-2</c:v>
                </c:pt>
                <c:pt idx="80">
                  <c:v>3.1867151250982814E-2</c:v>
                </c:pt>
                <c:pt idx="81">
                  <c:v>3.2359239582586803E-2</c:v>
                </c:pt>
                <c:pt idx="82">
                  <c:v>3.2927084398389844E-2</c:v>
                </c:pt>
                <c:pt idx="83">
                  <c:v>3.3360026694488044E-2</c:v>
                </c:pt>
                <c:pt idx="84">
                  <c:v>3.4108360394545199E-2</c:v>
                </c:pt>
                <c:pt idx="85">
                  <c:v>3.5074075088721728E-2</c:v>
                </c:pt>
                <c:pt idx="86">
                  <c:v>3.5220159821734771E-2</c:v>
                </c:pt>
                <c:pt idx="87">
                  <c:v>3.5334550814502846E-2</c:v>
                </c:pt>
                <c:pt idx="88">
                  <c:v>3.5502062960353908E-2</c:v>
                </c:pt>
                <c:pt idx="89">
                  <c:v>3.577089095154426E-2</c:v>
                </c:pt>
                <c:pt idx="90">
                  <c:v>3.6253258404961582E-2</c:v>
                </c:pt>
                <c:pt idx="91">
                  <c:v>3.7363902506070627E-2</c:v>
                </c:pt>
                <c:pt idx="92">
                  <c:v>4.074310950490477E-2</c:v>
                </c:pt>
                <c:pt idx="93">
                  <c:v>4.074310950490477E-2</c:v>
                </c:pt>
                <c:pt idx="94">
                  <c:v>4.074310950490477E-2</c:v>
                </c:pt>
                <c:pt idx="95">
                  <c:v>4.074310950490477E-2</c:v>
                </c:pt>
                <c:pt idx="96">
                  <c:v>4.074310950490477E-2</c:v>
                </c:pt>
                <c:pt idx="97">
                  <c:v>4.074310950490477E-2</c:v>
                </c:pt>
                <c:pt idx="98">
                  <c:v>4.074310950490477E-2</c:v>
                </c:pt>
                <c:pt idx="99">
                  <c:v>4.074310950490477E-2</c:v>
                </c:pt>
                <c:pt idx="100">
                  <c:v>4.074310950490477E-2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4D-40E2-AF58-849885AC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4975"/>
        <c:axId val="174807471"/>
      </c:scatterChart>
      <c:valAx>
        <c:axId val="17480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4807471"/>
        <c:crosses val="autoZero"/>
        <c:crossBetween val="midCat"/>
      </c:valAx>
      <c:valAx>
        <c:axId val="1748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4804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Arial (Thân)"/>
                <a:ea typeface="+mn-ea"/>
                <a:cs typeface="+mn-cs"/>
              </a:defRPr>
            </a:pPr>
            <a:r>
              <a:rPr lang="vi-VN">
                <a:latin typeface="Arial (Thân)"/>
              </a:rPr>
              <a:t>2 </a:t>
            </a:r>
            <a:r>
              <a:rPr lang="en-US">
                <a:latin typeface="Arial (Thân)"/>
              </a:rPr>
              <a:t>EFFICIENT FRONTIER</a:t>
            </a:r>
            <a:endParaRPr lang="vi-VN">
              <a:latin typeface="Arial (Thân)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Arial (Thân)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7.6837350671115148E-2"/>
          <c:y val="0.16408305654080255"/>
          <c:w val="0.89347680693716269"/>
          <c:h val="0.78924211926377053"/>
        </c:manualLayout>
      </c:layout>
      <c:scatterChart>
        <c:scatterStyle val="smoothMarker"/>
        <c:varyColors val="0"/>
        <c:ser>
          <c:idx val="0"/>
          <c:order val="0"/>
          <c:tx>
            <c:v>Short Selling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'Short vs No Short'!$A$4:$A$149</c:f>
              <c:numCache>
                <c:formatCode>0.00%</c:formatCode>
                <c:ptCount val="146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2.5557859610678555E-2</c:v>
                </c:pt>
                <c:pt idx="45">
                  <c:v>3.5259032765535839E-2</c:v>
                </c:pt>
                <c:pt idx="46">
                  <c:v>3.5654877638764522E-2</c:v>
                </c:pt>
                <c:pt idx="47">
                  <c:v>3.5553577044688991E-2</c:v>
                </c:pt>
                <c:pt idx="48">
                  <c:v>3.555918862266217E-2</c:v>
                </c:pt>
                <c:pt idx="49">
                  <c:v>3.555918862266217E-2</c:v>
                </c:pt>
                <c:pt idx="50">
                  <c:v>3.555918862266217E-2</c:v>
                </c:pt>
                <c:pt idx="51">
                  <c:v>3.555918862266217E-2</c:v>
                </c:pt>
                <c:pt idx="52">
                  <c:v>3.555918862266217E-2</c:v>
                </c:pt>
                <c:pt idx="53">
                  <c:v>3.5608839777068343E-2</c:v>
                </c:pt>
                <c:pt idx="54">
                  <c:v>3.5608839777068343E-2</c:v>
                </c:pt>
                <c:pt idx="55">
                  <c:v>3.5608839777068343E-2</c:v>
                </c:pt>
                <c:pt idx="56">
                  <c:v>3.5608839777068343E-2</c:v>
                </c:pt>
                <c:pt idx="57">
                  <c:v>3.5608839777068343E-2</c:v>
                </c:pt>
                <c:pt idx="58">
                  <c:v>3.5664944954026313E-2</c:v>
                </c:pt>
                <c:pt idx="59">
                  <c:v>3.5664944954026313E-2</c:v>
                </c:pt>
                <c:pt idx="60">
                  <c:v>3.5664944954026313E-2</c:v>
                </c:pt>
                <c:pt idx="61">
                  <c:v>3.5664944954026313E-2</c:v>
                </c:pt>
                <c:pt idx="62">
                  <c:v>3.5716483783655294E-2</c:v>
                </c:pt>
                <c:pt idx="63">
                  <c:v>3.5716483783655294E-2</c:v>
                </c:pt>
                <c:pt idx="64">
                  <c:v>3.5716483783655294E-2</c:v>
                </c:pt>
                <c:pt idx="65">
                  <c:v>3.5716483783655294E-2</c:v>
                </c:pt>
                <c:pt idx="66">
                  <c:v>3.5789072000556588E-2</c:v>
                </c:pt>
                <c:pt idx="67">
                  <c:v>3.5789072000556588E-2</c:v>
                </c:pt>
                <c:pt idx="68">
                  <c:v>3.5789072000556588E-2</c:v>
                </c:pt>
                <c:pt idx="69">
                  <c:v>3.5842403944040348E-2</c:v>
                </c:pt>
                <c:pt idx="70">
                  <c:v>3.5842403944040348E-2</c:v>
                </c:pt>
                <c:pt idx="71">
                  <c:v>3.5842403944040348E-2</c:v>
                </c:pt>
                <c:pt idx="72">
                  <c:v>3.5919781189531222E-2</c:v>
                </c:pt>
                <c:pt idx="73">
                  <c:v>3.5919781189531222E-2</c:v>
                </c:pt>
                <c:pt idx="74">
                  <c:v>3.5919781189531222E-2</c:v>
                </c:pt>
                <c:pt idx="75">
                  <c:v>3.6003487245090962E-2</c:v>
                </c:pt>
                <c:pt idx="76">
                  <c:v>3.6003487245090962E-2</c:v>
                </c:pt>
                <c:pt idx="77">
                  <c:v>3.6054543846644756E-2</c:v>
                </c:pt>
                <c:pt idx="78">
                  <c:v>3.6054543846644756E-2</c:v>
                </c:pt>
                <c:pt idx="79">
                  <c:v>3.6117008027973962E-2</c:v>
                </c:pt>
                <c:pt idx="80">
                  <c:v>3.6117008027973962E-2</c:v>
                </c:pt>
                <c:pt idx="81">
                  <c:v>3.6194020961830657E-2</c:v>
                </c:pt>
                <c:pt idx="82">
                  <c:v>3.6194020961830657E-2</c:v>
                </c:pt>
                <c:pt idx="83">
                  <c:v>3.6270962605546152E-2</c:v>
                </c:pt>
                <c:pt idx="84">
                  <c:v>3.6270962605546152E-2</c:v>
                </c:pt>
                <c:pt idx="85">
                  <c:v>3.6386156506113765E-2</c:v>
                </c:pt>
                <c:pt idx="86">
                  <c:v>3.6386156506113765E-2</c:v>
                </c:pt>
                <c:pt idx="87">
                  <c:v>3.6489309714133236E-2</c:v>
                </c:pt>
                <c:pt idx="88">
                  <c:v>3.6489309714133236E-2</c:v>
                </c:pt>
                <c:pt idx="89">
                  <c:v>3.6624042926230997E-2</c:v>
                </c:pt>
                <c:pt idx="90">
                  <c:v>3.6693239415981099E-2</c:v>
                </c:pt>
                <c:pt idx="91">
                  <c:v>3.6769796312733263E-2</c:v>
                </c:pt>
                <c:pt idx="92">
                  <c:v>3.6855006639186901E-2</c:v>
                </c:pt>
                <c:pt idx="93">
                  <c:v>3.6950388682939969E-2</c:v>
                </c:pt>
                <c:pt idx="94">
                  <c:v>3.7050080795065748E-2</c:v>
                </c:pt>
                <c:pt idx="95">
                  <c:v>3.7160936744264864E-2</c:v>
                </c:pt>
                <c:pt idx="96">
                  <c:v>3.7283105261932015E-2</c:v>
                </c:pt>
                <c:pt idx="97">
                  <c:v>3.7418443573175517E-2</c:v>
                </c:pt>
                <c:pt idx="98">
                  <c:v>3.7568487843165729E-2</c:v>
                </c:pt>
                <c:pt idx="99">
                  <c:v>3.7735372697748321E-2</c:v>
                </c:pt>
                <c:pt idx="100">
                  <c:v>3.7925970483455987E-2</c:v>
                </c:pt>
                <c:pt idx="101">
                  <c:v>3.8128608475406701E-2</c:v>
                </c:pt>
                <c:pt idx="102">
                  <c:v>3.8364360769173253E-2</c:v>
                </c:pt>
                <c:pt idx="103">
                  <c:v>3.8629261810915291E-2</c:v>
                </c:pt>
                <c:pt idx="104">
                  <c:v>3.8930684555753929E-2</c:v>
                </c:pt>
                <c:pt idx="105">
                  <c:v>3.9270992523672311E-2</c:v>
                </c:pt>
                <c:pt idx="106">
                  <c:v>3.9668414437335445E-2</c:v>
                </c:pt>
                <c:pt idx="107">
                  <c:v>4.0117287987212175E-2</c:v>
                </c:pt>
                <c:pt idx="108">
                  <c:v>4.0654444687291853E-2</c:v>
                </c:pt>
                <c:pt idx="109">
                  <c:v>4.128126164539183E-2</c:v>
                </c:pt>
                <c:pt idx="110">
                  <c:v>4.2013526335945135E-2</c:v>
                </c:pt>
                <c:pt idx="111">
                  <c:v>4.290231365135757E-2</c:v>
                </c:pt>
                <c:pt idx="112">
                  <c:v>4.3950911554823918E-2</c:v>
                </c:pt>
                <c:pt idx="113">
                  <c:v>4.4737672765989243E-2</c:v>
                </c:pt>
                <c:pt idx="114">
                  <c:v>4.5461251162145479E-2</c:v>
                </c:pt>
                <c:pt idx="115">
                  <c:v>4.6297255809492836E-2</c:v>
                </c:pt>
                <c:pt idx="116">
                  <c:v>4.7320853326737994E-2</c:v>
                </c:pt>
                <c:pt idx="117">
                  <c:v>4.8591630000914897E-2</c:v>
                </c:pt>
                <c:pt idx="118">
                  <c:v>4.9588441351101818E-2</c:v>
                </c:pt>
                <c:pt idx="119">
                  <c:v>5.0943445780731615E-2</c:v>
                </c:pt>
                <c:pt idx="120">
                  <c:v>5.1224628545397062E-2</c:v>
                </c:pt>
                <c:pt idx="121">
                  <c:v>5.1562878308333331E-2</c:v>
                </c:pt>
                <c:pt idx="122">
                  <c:v>5.1993373238166163E-2</c:v>
                </c:pt>
                <c:pt idx="123">
                  <c:v>5.2532413433624546E-2</c:v>
                </c:pt>
                <c:pt idx="124">
                  <c:v>5.3233308734308621E-2</c:v>
                </c:pt>
                <c:pt idx="125">
                  <c:v>5.4166982208089479E-2</c:v>
                </c:pt>
                <c:pt idx="126">
                  <c:v>5.5447249260766732E-2</c:v>
                </c:pt>
                <c:pt idx="127">
                  <c:v>5.7070953159078633E-2</c:v>
                </c:pt>
                <c:pt idx="128">
                  <c:v>5.8454321422199272E-2</c:v>
                </c:pt>
                <c:pt idx="129">
                  <c:v>6.1109563929814446E-2</c:v>
                </c:pt>
                <c:pt idx="130">
                  <c:v>6.5032307023993347E-2</c:v>
                </c:pt>
                <c:pt idx="131">
                  <c:v>6.5690855974735965E-2</c:v>
                </c:pt>
                <c:pt idx="132">
                  <c:v>6.6309903658477221E-2</c:v>
                </c:pt>
                <c:pt idx="133">
                  <c:v>6.7394794842985786E-2</c:v>
                </c:pt>
                <c:pt idx="134">
                  <c:v>6.9555187819740627E-2</c:v>
                </c:pt>
                <c:pt idx="135">
                  <c:v>7.4598734767509389E-2</c:v>
                </c:pt>
                <c:pt idx="136">
                  <c:v>9.0909929898639191E-2</c:v>
                </c:pt>
                <c:pt idx="137">
                  <c:v>0.16069061140532118</c:v>
                </c:pt>
                <c:pt idx="138">
                  <c:v>0.16069061140532118</c:v>
                </c:pt>
                <c:pt idx="139">
                  <c:v>0.16069061140532118</c:v>
                </c:pt>
                <c:pt idx="140">
                  <c:v>0.16069061140532118</c:v>
                </c:pt>
                <c:pt idx="141">
                  <c:v>0.16069061140532118</c:v>
                </c:pt>
                <c:pt idx="142">
                  <c:v>0.16069061140532118</c:v>
                </c:pt>
                <c:pt idx="143">
                  <c:v>0.16069061140532118</c:v>
                </c:pt>
                <c:pt idx="144">
                  <c:v>0.16069061140532118</c:v>
                </c:pt>
                <c:pt idx="145">
                  <c:v>0.16069061140532118</c:v>
                </c:pt>
              </c:numCache>
            </c:numRef>
          </c:xVal>
          <c:yVal>
            <c:numRef>
              <c:f>'Short vs No Short'!$B$4:$B$47</c:f>
              <c:numCache>
                <c:formatCode>0.00%</c:formatCode>
                <c:ptCount val="44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8.6184502815444004E-3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D1-476B-A36C-3A1C2BE52BE6}"/>
            </c:ext>
          </c:extLst>
        </c:ser>
        <c:ser>
          <c:idx val="1"/>
          <c:order val="1"/>
          <c:tx>
            <c:v>No Short Selling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'Short vs No Short'!$A$4:$A$149</c:f>
              <c:numCache>
                <c:formatCode>0.00%</c:formatCode>
                <c:ptCount val="146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2.5557859610678555E-2</c:v>
                </c:pt>
                <c:pt idx="45">
                  <c:v>3.5259032765535839E-2</c:v>
                </c:pt>
                <c:pt idx="46">
                  <c:v>3.5654877638764522E-2</c:v>
                </c:pt>
                <c:pt idx="47">
                  <c:v>3.5553577044688991E-2</c:v>
                </c:pt>
                <c:pt idx="48">
                  <c:v>3.555918862266217E-2</c:v>
                </c:pt>
                <c:pt idx="49">
                  <c:v>3.555918862266217E-2</c:v>
                </c:pt>
                <c:pt idx="50">
                  <c:v>3.555918862266217E-2</c:v>
                </c:pt>
                <c:pt idx="51">
                  <c:v>3.555918862266217E-2</c:v>
                </c:pt>
                <c:pt idx="52">
                  <c:v>3.555918862266217E-2</c:v>
                </c:pt>
                <c:pt idx="53">
                  <c:v>3.5608839777068343E-2</c:v>
                </c:pt>
                <c:pt idx="54">
                  <c:v>3.5608839777068343E-2</c:v>
                </c:pt>
                <c:pt idx="55">
                  <c:v>3.5608839777068343E-2</c:v>
                </c:pt>
                <c:pt idx="56">
                  <c:v>3.5608839777068343E-2</c:v>
                </c:pt>
                <c:pt idx="57">
                  <c:v>3.5608839777068343E-2</c:v>
                </c:pt>
                <c:pt idx="58">
                  <c:v>3.5664944954026313E-2</c:v>
                </c:pt>
                <c:pt idx="59">
                  <c:v>3.5664944954026313E-2</c:v>
                </c:pt>
                <c:pt idx="60">
                  <c:v>3.5664944954026313E-2</c:v>
                </c:pt>
                <c:pt idx="61">
                  <c:v>3.5664944954026313E-2</c:v>
                </c:pt>
                <c:pt idx="62">
                  <c:v>3.5716483783655294E-2</c:v>
                </c:pt>
                <c:pt idx="63">
                  <c:v>3.5716483783655294E-2</c:v>
                </c:pt>
                <c:pt idx="64">
                  <c:v>3.5716483783655294E-2</c:v>
                </c:pt>
                <c:pt idx="65">
                  <c:v>3.5716483783655294E-2</c:v>
                </c:pt>
                <c:pt idx="66">
                  <c:v>3.5789072000556588E-2</c:v>
                </c:pt>
                <c:pt idx="67">
                  <c:v>3.5789072000556588E-2</c:v>
                </c:pt>
                <c:pt idx="68">
                  <c:v>3.5789072000556588E-2</c:v>
                </c:pt>
                <c:pt idx="69">
                  <c:v>3.5842403944040348E-2</c:v>
                </c:pt>
                <c:pt idx="70">
                  <c:v>3.5842403944040348E-2</c:v>
                </c:pt>
                <c:pt idx="71">
                  <c:v>3.5842403944040348E-2</c:v>
                </c:pt>
                <c:pt idx="72">
                  <c:v>3.5919781189531222E-2</c:v>
                </c:pt>
                <c:pt idx="73">
                  <c:v>3.5919781189531222E-2</c:v>
                </c:pt>
                <c:pt idx="74">
                  <c:v>3.5919781189531222E-2</c:v>
                </c:pt>
                <c:pt idx="75">
                  <c:v>3.6003487245090962E-2</c:v>
                </c:pt>
                <c:pt idx="76">
                  <c:v>3.6003487245090962E-2</c:v>
                </c:pt>
                <c:pt idx="77">
                  <c:v>3.6054543846644756E-2</c:v>
                </c:pt>
                <c:pt idx="78">
                  <c:v>3.6054543846644756E-2</c:v>
                </c:pt>
                <c:pt idx="79">
                  <c:v>3.6117008027973962E-2</c:v>
                </c:pt>
                <c:pt idx="80">
                  <c:v>3.6117008027973962E-2</c:v>
                </c:pt>
                <c:pt idx="81">
                  <c:v>3.6194020961830657E-2</c:v>
                </c:pt>
                <c:pt idx="82">
                  <c:v>3.6194020961830657E-2</c:v>
                </c:pt>
                <c:pt idx="83">
                  <c:v>3.6270962605546152E-2</c:v>
                </c:pt>
                <c:pt idx="84">
                  <c:v>3.6270962605546152E-2</c:v>
                </c:pt>
                <c:pt idx="85">
                  <c:v>3.6386156506113765E-2</c:v>
                </c:pt>
                <c:pt idx="86">
                  <c:v>3.6386156506113765E-2</c:v>
                </c:pt>
                <c:pt idx="87">
                  <c:v>3.6489309714133236E-2</c:v>
                </c:pt>
                <c:pt idx="88">
                  <c:v>3.6489309714133236E-2</c:v>
                </c:pt>
                <c:pt idx="89">
                  <c:v>3.6624042926230997E-2</c:v>
                </c:pt>
                <c:pt idx="90">
                  <c:v>3.6693239415981099E-2</c:v>
                </c:pt>
                <c:pt idx="91">
                  <c:v>3.6769796312733263E-2</c:v>
                </c:pt>
                <c:pt idx="92">
                  <c:v>3.6855006639186901E-2</c:v>
                </c:pt>
                <c:pt idx="93">
                  <c:v>3.6950388682939969E-2</c:v>
                </c:pt>
                <c:pt idx="94">
                  <c:v>3.7050080795065748E-2</c:v>
                </c:pt>
                <c:pt idx="95">
                  <c:v>3.7160936744264864E-2</c:v>
                </c:pt>
                <c:pt idx="96">
                  <c:v>3.7283105261932015E-2</c:v>
                </c:pt>
                <c:pt idx="97">
                  <c:v>3.7418443573175517E-2</c:v>
                </c:pt>
                <c:pt idx="98">
                  <c:v>3.7568487843165729E-2</c:v>
                </c:pt>
                <c:pt idx="99">
                  <c:v>3.7735372697748321E-2</c:v>
                </c:pt>
                <c:pt idx="100">
                  <c:v>3.7925970483455987E-2</c:v>
                </c:pt>
                <c:pt idx="101">
                  <c:v>3.8128608475406701E-2</c:v>
                </c:pt>
                <c:pt idx="102">
                  <c:v>3.8364360769173253E-2</c:v>
                </c:pt>
                <c:pt idx="103">
                  <c:v>3.8629261810915291E-2</c:v>
                </c:pt>
                <c:pt idx="104">
                  <c:v>3.8930684555753929E-2</c:v>
                </c:pt>
                <c:pt idx="105">
                  <c:v>3.9270992523672311E-2</c:v>
                </c:pt>
                <c:pt idx="106">
                  <c:v>3.9668414437335445E-2</c:v>
                </c:pt>
                <c:pt idx="107">
                  <c:v>4.0117287987212175E-2</c:v>
                </c:pt>
                <c:pt idx="108">
                  <c:v>4.0654444687291853E-2</c:v>
                </c:pt>
                <c:pt idx="109">
                  <c:v>4.128126164539183E-2</c:v>
                </c:pt>
                <c:pt idx="110">
                  <c:v>4.2013526335945135E-2</c:v>
                </c:pt>
                <c:pt idx="111">
                  <c:v>4.290231365135757E-2</c:v>
                </c:pt>
                <c:pt idx="112">
                  <c:v>4.3950911554823918E-2</c:v>
                </c:pt>
                <c:pt idx="113">
                  <c:v>4.4737672765989243E-2</c:v>
                </c:pt>
                <c:pt idx="114">
                  <c:v>4.5461251162145479E-2</c:v>
                </c:pt>
                <c:pt idx="115">
                  <c:v>4.6297255809492836E-2</c:v>
                </c:pt>
                <c:pt idx="116">
                  <c:v>4.7320853326737994E-2</c:v>
                </c:pt>
                <c:pt idx="117">
                  <c:v>4.8591630000914897E-2</c:v>
                </c:pt>
                <c:pt idx="118">
                  <c:v>4.9588441351101818E-2</c:v>
                </c:pt>
                <c:pt idx="119">
                  <c:v>5.0943445780731615E-2</c:v>
                </c:pt>
                <c:pt idx="120">
                  <c:v>5.1224628545397062E-2</c:v>
                </c:pt>
                <c:pt idx="121">
                  <c:v>5.1562878308333331E-2</c:v>
                </c:pt>
                <c:pt idx="122">
                  <c:v>5.1993373238166163E-2</c:v>
                </c:pt>
                <c:pt idx="123">
                  <c:v>5.2532413433624546E-2</c:v>
                </c:pt>
                <c:pt idx="124">
                  <c:v>5.3233308734308621E-2</c:v>
                </c:pt>
                <c:pt idx="125">
                  <c:v>5.4166982208089479E-2</c:v>
                </c:pt>
                <c:pt idx="126">
                  <c:v>5.5447249260766732E-2</c:v>
                </c:pt>
                <c:pt idx="127">
                  <c:v>5.7070953159078633E-2</c:v>
                </c:pt>
                <c:pt idx="128">
                  <c:v>5.8454321422199272E-2</c:v>
                </c:pt>
                <c:pt idx="129">
                  <c:v>6.1109563929814446E-2</c:v>
                </c:pt>
                <c:pt idx="130">
                  <c:v>6.5032307023993347E-2</c:v>
                </c:pt>
                <c:pt idx="131">
                  <c:v>6.5690855974735965E-2</c:v>
                </c:pt>
                <c:pt idx="132">
                  <c:v>6.6309903658477221E-2</c:v>
                </c:pt>
                <c:pt idx="133">
                  <c:v>6.7394794842985786E-2</c:v>
                </c:pt>
                <c:pt idx="134">
                  <c:v>6.9555187819740627E-2</c:v>
                </c:pt>
                <c:pt idx="135">
                  <c:v>7.4598734767509389E-2</c:v>
                </c:pt>
                <c:pt idx="136">
                  <c:v>9.0909929898639191E-2</c:v>
                </c:pt>
                <c:pt idx="137">
                  <c:v>0.16069061140532118</c:v>
                </c:pt>
                <c:pt idx="138">
                  <c:v>0.16069061140532118</c:v>
                </c:pt>
                <c:pt idx="139">
                  <c:v>0.16069061140532118</c:v>
                </c:pt>
                <c:pt idx="140">
                  <c:v>0.16069061140532118</c:v>
                </c:pt>
                <c:pt idx="141">
                  <c:v>0.16069061140532118</c:v>
                </c:pt>
                <c:pt idx="142">
                  <c:v>0.16069061140532118</c:v>
                </c:pt>
                <c:pt idx="143">
                  <c:v>0.16069061140532118</c:v>
                </c:pt>
                <c:pt idx="144">
                  <c:v>0.16069061140532118</c:v>
                </c:pt>
                <c:pt idx="145">
                  <c:v>0.16069061140532118</c:v>
                </c:pt>
              </c:numCache>
            </c:numRef>
          </c:xVal>
          <c:yVal>
            <c:numRef>
              <c:f>'Short vs No Short'!$C$4:$C$149</c:f>
              <c:numCache>
                <c:formatCode>General</c:formatCode>
                <c:ptCount val="146"/>
                <c:pt idx="45" formatCode="0.00%">
                  <c:v>1.0016520520072245E-2</c:v>
                </c:pt>
                <c:pt idx="46" formatCode="0.00%">
                  <c:v>1.3010320917839983E-2</c:v>
                </c:pt>
                <c:pt idx="47" formatCode="0.00%">
                  <c:v>1.2668072222923875E-2</c:v>
                </c:pt>
                <c:pt idx="48" formatCode="0.00%">
                  <c:v>1.2693248175831503E-2</c:v>
                </c:pt>
                <c:pt idx="49" formatCode="0.00%">
                  <c:v>1.2693248175831503E-2</c:v>
                </c:pt>
                <c:pt idx="50" formatCode="0.00%">
                  <c:v>1.2693248175831503E-2</c:v>
                </c:pt>
                <c:pt idx="51" formatCode="0.00%">
                  <c:v>1.2693248175831503E-2</c:v>
                </c:pt>
                <c:pt idx="52" formatCode="0.00%">
                  <c:v>1.2693248175831503E-2</c:v>
                </c:pt>
                <c:pt idx="53" formatCode="0.00%">
                  <c:v>1.2906410596542904E-2</c:v>
                </c:pt>
                <c:pt idx="54" formatCode="0.00%">
                  <c:v>1.2906410596542904E-2</c:v>
                </c:pt>
                <c:pt idx="55" formatCode="0.00%">
                  <c:v>1.2906410596542904E-2</c:v>
                </c:pt>
                <c:pt idx="56" formatCode="0.00%">
                  <c:v>1.2906410596542904E-2</c:v>
                </c:pt>
                <c:pt idx="57" formatCode="0.00%">
                  <c:v>1.2906410596542904E-2</c:v>
                </c:pt>
                <c:pt idx="58" formatCode="0.00%">
                  <c:v>1.3129734158328722E-2</c:v>
                </c:pt>
                <c:pt idx="59" formatCode="0.00%">
                  <c:v>1.3129734158328722E-2</c:v>
                </c:pt>
                <c:pt idx="60" formatCode="0.00%">
                  <c:v>1.3129734158328722E-2</c:v>
                </c:pt>
                <c:pt idx="61" formatCode="0.00%">
                  <c:v>1.3129734158328722E-2</c:v>
                </c:pt>
                <c:pt idx="62" formatCode="0.00%">
                  <c:v>1.332197631492887E-2</c:v>
                </c:pt>
                <c:pt idx="63" formatCode="0.00%">
                  <c:v>1.332197631492887E-2</c:v>
                </c:pt>
                <c:pt idx="64" formatCode="0.00%">
                  <c:v>1.332197631492887E-2</c:v>
                </c:pt>
                <c:pt idx="65" formatCode="0.00%">
                  <c:v>1.332197631492887E-2</c:v>
                </c:pt>
                <c:pt idx="66" formatCode="0.00%">
                  <c:v>1.3577847801441452E-2</c:v>
                </c:pt>
                <c:pt idx="67" formatCode="0.00%">
                  <c:v>1.3577847801441452E-2</c:v>
                </c:pt>
                <c:pt idx="68" formatCode="0.00%">
                  <c:v>1.3577847801441452E-2</c:v>
                </c:pt>
                <c:pt idx="69" formatCode="0.00%">
                  <c:v>1.375443767226023E-2</c:v>
                </c:pt>
                <c:pt idx="70" formatCode="0.00%">
                  <c:v>1.375443767226023E-2</c:v>
                </c:pt>
                <c:pt idx="71" formatCode="0.00%">
                  <c:v>1.375443767226023E-2</c:v>
                </c:pt>
                <c:pt idx="72" formatCode="0.00%">
                  <c:v>1.3998835314379374E-2</c:v>
                </c:pt>
                <c:pt idx="73" formatCode="0.00%">
                  <c:v>1.3998835314379374E-2</c:v>
                </c:pt>
                <c:pt idx="74" formatCode="0.00%">
                  <c:v>1.3998835314379374E-2</c:v>
                </c:pt>
                <c:pt idx="75" formatCode="0.00%">
                  <c:v>1.4248001575182979E-2</c:v>
                </c:pt>
                <c:pt idx="76" formatCode="0.00%">
                  <c:v>1.4248001575182979E-2</c:v>
                </c:pt>
                <c:pt idx="77" formatCode="0.00%">
                  <c:v>1.4392981740456241E-2</c:v>
                </c:pt>
                <c:pt idx="78" formatCode="0.00%">
                  <c:v>1.4392981740456241E-2</c:v>
                </c:pt>
                <c:pt idx="79" formatCode="0.00%">
                  <c:v>1.4563579709151604E-2</c:v>
                </c:pt>
                <c:pt idx="80" formatCode="0.00%">
                  <c:v>1.4563579709151604E-2</c:v>
                </c:pt>
                <c:pt idx="81" formatCode="0.00%">
                  <c:v>1.4766007227053842E-2</c:v>
                </c:pt>
                <c:pt idx="82" formatCode="0.00%">
                  <c:v>1.4766007227053842E-2</c:v>
                </c:pt>
                <c:pt idx="83" formatCode="0.00%">
                  <c:v>1.4958941575360405E-2</c:v>
                </c:pt>
                <c:pt idx="84" formatCode="0.00%">
                  <c:v>1.4958941575360405E-2</c:v>
                </c:pt>
                <c:pt idx="85" formatCode="0.00%">
                  <c:v>1.524114091857399E-2</c:v>
                </c:pt>
                <c:pt idx="86" formatCode="0.00%">
                  <c:v>1.524114091857399E-2</c:v>
                </c:pt>
                <c:pt idx="87" formatCode="0.00%">
                  <c:v>1.5477016692037928E-2</c:v>
                </c:pt>
                <c:pt idx="88" formatCode="0.00%">
                  <c:v>1.5477016692037928E-2</c:v>
                </c:pt>
                <c:pt idx="89" formatCode="0.00%">
                  <c:v>1.577253215173767E-2</c:v>
                </c:pt>
                <c:pt idx="90" formatCode="0.00%">
                  <c:v>1.5917562449822412E-2</c:v>
                </c:pt>
                <c:pt idx="91" formatCode="0.00%">
                  <c:v>1.6073896708605696E-2</c:v>
                </c:pt>
                <c:pt idx="92" formatCode="0.00%">
                  <c:v>1.6243291671238537E-2</c:v>
                </c:pt>
                <c:pt idx="93" formatCode="0.00%">
                  <c:v>1.6427984552942552E-2</c:v>
                </c:pt>
                <c:pt idx="94" formatCode="0.00%">
                  <c:v>1.6615298777289574E-2</c:v>
                </c:pt>
                <c:pt idx="95" formatCode="0.00%">
                  <c:v>1.6817643977983465E-2</c:v>
                </c:pt>
                <c:pt idx="96" formatCode="0.00%">
                  <c:v>1.703406723720358E-2</c:v>
                </c:pt>
                <c:pt idx="97" formatCode="0.00%">
                  <c:v>1.7266551655247597E-2</c:v>
                </c:pt>
                <c:pt idx="98" formatCode="0.00%">
                  <c:v>1.7516252865518521E-2</c:v>
                </c:pt>
                <c:pt idx="99" formatCode="0.00%">
                  <c:v>1.7785065909444665E-2</c:v>
                </c:pt>
                <c:pt idx="100" formatCode="0.00%">
                  <c:v>1.8081980003544128E-2</c:v>
                </c:pt>
                <c:pt idx="101" formatCode="0.00%">
                  <c:v>1.8386787146809816E-2</c:v>
                </c:pt>
                <c:pt idx="102" formatCode="0.00%">
                  <c:v>1.8729142468904236E-2</c:v>
                </c:pt>
                <c:pt idx="103" formatCode="0.00%">
                  <c:v>1.9099962507162664E-2</c:v>
                </c:pt>
                <c:pt idx="104" formatCode="0.00%">
                  <c:v>1.9506509856527049E-2</c:v>
                </c:pt>
                <c:pt idx="105" formatCode="0.00%">
                  <c:v>1.9947821495769E-2</c:v>
                </c:pt>
                <c:pt idx="106" formatCode="0.00%">
                  <c:v>2.0443133974140708E-2</c:v>
                </c:pt>
                <c:pt idx="107" formatCode="0.00%">
                  <c:v>2.097983359729743E-2</c:v>
                </c:pt>
                <c:pt idx="108" formatCode="0.00%">
                  <c:v>2.1595596123756382E-2</c:v>
                </c:pt>
                <c:pt idx="109" formatCode="0.00%">
                  <c:v>2.2282910856320823E-2</c:v>
                </c:pt>
                <c:pt idx="110" formatCode="0.00%">
                  <c:v>2.3050200093624251E-2</c:v>
                </c:pt>
                <c:pt idx="111" formatCode="0.00%">
                  <c:v>2.3939654424300079E-2</c:v>
                </c:pt>
                <c:pt idx="112" formatCode="0.00%">
                  <c:v>2.4939699116115883E-2</c:v>
                </c:pt>
                <c:pt idx="113" formatCode="0.00%">
                  <c:v>2.5657871836915359E-2</c:v>
                </c:pt>
                <c:pt idx="114" formatCode="0.00%">
                  <c:v>2.6284918699991316E-2</c:v>
                </c:pt>
                <c:pt idx="115" formatCode="0.00%">
                  <c:v>2.6970102555683963E-2</c:v>
                </c:pt>
                <c:pt idx="116" formatCode="0.00%">
                  <c:v>2.7764780624981996E-2</c:v>
                </c:pt>
                <c:pt idx="117" formatCode="0.00%">
                  <c:v>2.8697625971879585E-2</c:v>
                </c:pt>
                <c:pt idx="118" formatCode="0.00%">
                  <c:v>2.9388339009983125E-2</c:v>
                </c:pt>
                <c:pt idx="119" formatCode="0.00%">
                  <c:v>3.0284354704592689E-2</c:v>
                </c:pt>
                <c:pt idx="120" formatCode="0.00%">
                  <c:v>3.0457012744117579E-2</c:v>
                </c:pt>
                <c:pt idx="121" formatCode="0.00%">
                  <c:v>3.0651300765092985E-2</c:v>
                </c:pt>
                <c:pt idx="122" formatCode="0.00%">
                  <c:v>3.0884105161689095E-2</c:v>
                </c:pt>
                <c:pt idx="123" formatCode="0.00%">
                  <c:v>3.1152059673179092E-2</c:v>
                </c:pt>
                <c:pt idx="124" formatCode="0.00%">
                  <c:v>3.1473751367641835E-2</c:v>
                </c:pt>
                <c:pt idx="125" formatCode="0.00%">
                  <c:v>3.1867151250982814E-2</c:v>
                </c:pt>
                <c:pt idx="126" formatCode="0.00%">
                  <c:v>3.2359239582586803E-2</c:v>
                </c:pt>
                <c:pt idx="127" formatCode="0.00%">
                  <c:v>3.2927084398389844E-2</c:v>
                </c:pt>
                <c:pt idx="128" formatCode="0.00%">
                  <c:v>3.3360026694488044E-2</c:v>
                </c:pt>
                <c:pt idx="129" formatCode="0.00%">
                  <c:v>3.4108360394545199E-2</c:v>
                </c:pt>
                <c:pt idx="130" formatCode="0.00%">
                  <c:v>3.5074075088721728E-2</c:v>
                </c:pt>
                <c:pt idx="131" formatCode="0.00%">
                  <c:v>3.5220159821734771E-2</c:v>
                </c:pt>
                <c:pt idx="132" formatCode="0.00%">
                  <c:v>3.5334550814502846E-2</c:v>
                </c:pt>
                <c:pt idx="133" formatCode="0.00%">
                  <c:v>3.5502062960353908E-2</c:v>
                </c:pt>
                <c:pt idx="134" formatCode="0.00%">
                  <c:v>3.577089095154426E-2</c:v>
                </c:pt>
                <c:pt idx="135" formatCode="0.00%">
                  <c:v>3.6253258404961582E-2</c:v>
                </c:pt>
                <c:pt idx="136" formatCode="0.00%">
                  <c:v>3.7363902506070627E-2</c:v>
                </c:pt>
                <c:pt idx="137" formatCode="0.00%">
                  <c:v>4.074310950490477E-2</c:v>
                </c:pt>
                <c:pt idx="138" formatCode="0.00%">
                  <c:v>4.074310950490477E-2</c:v>
                </c:pt>
                <c:pt idx="139" formatCode="0.00%">
                  <c:v>4.074310950490477E-2</c:v>
                </c:pt>
                <c:pt idx="140" formatCode="0.00%">
                  <c:v>4.074310950490477E-2</c:v>
                </c:pt>
                <c:pt idx="141" formatCode="0.00%">
                  <c:v>4.074310950490477E-2</c:v>
                </c:pt>
                <c:pt idx="142" formatCode="0.00%">
                  <c:v>4.074310950490477E-2</c:v>
                </c:pt>
                <c:pt idx="143" formatCode="0.00%">
                  <c:v>4.074310950490477E-2</c:v>
                </c:pt>
                <c:pt idx="144" formatCode="0.00%">
                  <c:v>4.074310950490477E-2</c:v>
                </c:pt>
                <c:pt idx="145" formatCode="0.00%">
                  <c:v>4.074310950490477E-2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D1-476B-A36C-3A1C2BE52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227888"/>
        <c:axId val="902224144"/>
      </c:scatterChart>
      <c:valAx>
        <c:axId val="90222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02224144"/>
        <c:crosses val="autoZero"/>
        <c:crossBetween val="midCat"/>
      </c:valAx>
      <c:valAx>
        <c:axId val="9022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0222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CML </a:t>
            </a:r>
            <a:r>
              <a:rPr lang="en-US"/>
              <a:t>with</a:t>
            </a:r>
            <a:r>
              <a:rPr lang="en-US" baseline="0"/>
              <a:t> Short Selling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CML!$F$41</c:f>
              <c:strCache>
                <c:ptCount val="1"/>
                <c:pt idx="0">
                  <c:v>CML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CML!$E$42:$E$45</c:f>
              <c:numCache>
                <c:formatCode>0.00%</c:formatCode>
                <c:ptCount val="4"/>
                <c:pt idx="0">
                  <c:v>0</c:v>
                </c:pt>
                <c:pt idx="1">
                  <c:v>6.4898103366200124E-2</c:v>
                </c:pt>
                <c:pt idx="2" formatCode="General">
                  <c:v>0.12979620673240025</c:v>
                </c:pt>
                <c:pt idx="3" formatCode="General">
                  <c:v>0.19469431009860039</c:v>
                </c:pt>
              </c:numCache>
            </c:numRef>
          </c:xVal>
          <c:yVal>
            <c:numRef>
              <c:f>CML!$F$42:$F$45</c:f>
              <c:numCache>
                <c:formatCode>0.0%</c:formatCode>
                <c:ptCount val="4"/>
                <c:pt idx="0" formatCode="0.00%">
                  <c:v>-4.0000000000000001E-3</c:v>
                </c:pt>
                <c:pt idx="1">
                  <c:v>7.7361894062473374E-2</c:v>
                </c:pt>
                <c:pt idx="2" formatCode="General">
                  <c:v>0.15472378812494675</c:v>
                </c:pt>
                <c:pt idx="3">
                  <c:v>0.23208568218742012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45-4004-B1D2-FED98BEFA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789759"/>
        <c:axId val="1732790591"/>
      </c:scatterChart>
      <c:valAx>
        <c:axId val="173278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790591"/>
        <c:crosses val="autoZero"/>
        <c:crossBetween val="midCat"/>
      </c:valAx>
      <c:valAx>
        <c:axId val="173279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78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CML </a:t>
            </a:r>
            <a:r>
              <a:rPr lang="en-US"/>
              <a:t>without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CML!$S$38</c:f>
              <c:strCache>
                <c:ptCount val="1"/>
                <c:pt idx="0">
                  <c:v>CML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CML!$R$39:$R$42</c:f>
              <c:numCache>
                <c:formatCode>0.00%</c:formatCode>
                <c:ptCount val="4"/>
                <c:pt idx="0">
                  <c:v>0</c:v>
                </c:pt>
                <c:pt idx="1">
                  <c:v>4.9798741899711015E-2</c:v>
                </c:pt>
                <c:pt idx="2">
                  <c:v>9.9597483799422029E-2</c:v>
                </c:pt>
                <c:pt idx="3">
                  <c:v>0.14939622569913305</c:v>
                </c:pt>
              </c:numCache>
            </c:numRef>
          </c:xVal>
          <c:yVal>
            <c:numRef>
              <c:f>CML!$S$39:$S$42</c:f>
              <c:numCache>
                <c:formatCode>0.00%</c:formatCode>
                <c:ptCount val="4"/>
                <c:pt idx="0">
                  <c:v>-4.0000000000000001E-3</c:v>
                </c:pt>
                <c:pt idx="1">
                  <c:v>2.9538394126239056E-2</c:v>
                </c:pt>
                <c:pt idx="2">
                  <c:v>5.9076788252478113E-2</c:v>
                </c:pt>
                <c:pt idx="3">
                  <c:v>8.8615182378717169E-2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61-4C42-A0AA-028B7A433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02207"/>
        <c:axId val="440105535"/>
      </c:scatterChart>
      <c:valAx>
        <c:axId val="44010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40105535"/>
        <c:crosses val="autoZero"/>
        <c:crossBetween val="midCat"/>
      </c:valAx>
      <c:valAx>
        <c:axId val="44010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  <a:r>
                  <a:rPr lang="en-US" baseline="0"/>
                  <a:t> of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40102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vi-VN">
                <a:latin typeface="Arial (Thân)"/>
              </a:rPr>
              <a:t>SML </a:t>
            </a:r>
            <a:r>
              <a:rPr lang="en-US">
                <a:latin typeface="Arial (Thân)"/>
              </a:rPr>
              <a:t>AND</a:t>
            </a:r>
            <a:r>
              <a:rPr lang="en-US" baseline="0">
                <a:latin typeface="Arial (Thân)"/>
              </a:rPr>
              <a:t> STOCKS</a:t>
            </a:r>
            <a:endParaRPr lang="vi-VN">
              <a:latin typeface="Arial (Thân)"/>
            </a:endParaRPr>
          </a:p>
        </c:rich>
      </c:tx>
      <c:layout>
        <c:manualLayout>
          <c:xMode val="edge"/>
          <c:yMode val="edge"/>
          <c:x val="0.37073232616171126"/>
          <c:y val="2.31085524729751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0.10567422870179791"/>
          <c:y val="9.9511104356122287E-2"/>
          <c:w val="0.85942281235025642"/>
          <c:h val="0.8420964191094439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0"/>
                </a:srgbClr>
              </a:outerShdw>
            </a:effectLst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0"/>
                  </a:srgbClr>
                </a:outerShdw>
              </a:effectLst>
            </c:spPr>
          </c:marker>
          <c:dLbls>
            <c:delete val="1"/>
          </c:dLbls>
          <c:xVal>
            <c:numRef>
              <c:f>SML!$C$13:$C$42</c:f>
              <c:numCache>
                <c:formatCode>0.00</c:formatCode>
                <c:ptCount val="30"/>
                <c:pt idx="0">
                  <c:v>0.5727643208627835</c:v>
                </c:pt>
                <c:pt idx="1">
                  <c:v>1.5917360522604622</c:v>
                </c:pt>
                <c:pt idx="2">
                  <c:v>0.84077501857399894</c:v>
                </c:pt>
                <c:pt idx="3">
                  <c:v>0.99289047889994719</c:v>
                </c:pt>
                <c:pt idx="4">
                  <c:v>1.069066201727964</c:v>
                </c:pt>
                <c:pt idx="5">
                  <c:v>1.1007073661086531</c:v>
                </c:pt>
                <c:pt idx="6">
                  <c:v>0.920365899223757</c:v>
                </c:pt>
                <c:pt idx="7">
                  <c:v>1.5073615726662966</c:v>
                </c:pt>
                <c:pt idx="8">
                  <c:v>1.2725012071004069</c:v>
                </c:pt>
                <c:pt idx="9">
                  <c:v>1.3237998184280058</c:v>
                </c:pt>
                <c:pt idx="10">
                  <c:v>0.17472645151380256</c:v>
                </c:pt>
                <c:pt idx="11">
                  <c:v>0.66459106835178716</c:v>
                </c:pt>
                <c:pt idx="12">
                  <c:v>1.6026395059337688</c:v>
                </c:pt>
                <c:pt idx="13">
                  <c:v>0.67721532190091371</c:v>
                </c:pt>
                <c:pt idx="14">
                  <c:v>1.7214996160750407</c:v>
                </c:pt>
                <c:pt idx="15">
                  <c:v>0.38431009814845479</c:v>
                </c:pt>
                <c:pt idx="16">
                  <c:v>0.67064614382601229</c:v>
                </c:pt>
                <c:pt idx="17">
                  <c:v>0.5972675661464607</c:v>
                </c:pt>
                <c:pt idx="18">
                  <c:v>0.79392380241594962</c:v>
                </c:pt>
                <c:pt idx="19">
                  <c:v>1.2718585167782637</c:v>
                </c:pt>
                <c:pt idx="20">
                  <c:v>0.20964334475993945</c:v>
                </c:pt>
                <c:pt idx="21">
                  <c:v>0.82550313013270238</c:v>
                </c:pt>
                <c:pt idx="22">
                  <c:v>0.61175928801844071</c:v>
                </c:pt>
                <c:pt idx="23">
                  <c:v>1.2161942695850836</c:v>
                </c:pt>
                <c:pt idx="24">
                  <c:v>1.3506854390910561</c:v>
                </c:pt>
                <c:pt idx="25">
                  <c:v>1.9859547130383701</c:v>
                </c:pt>
                <c:pt idx="26">
                  <c:v>0.55291642018318832</c:v>
                </c:pt>
                <c:pt idx="27">
                  <c:v>0.89845835363597448</c:v>
                </c:pt>
                <c:pt idx="28">
                  <c:v>1.7919674674118251</c:v>
                </c:pt>
                <c:pt idx="29">
                  <c:v>0.89341069721917443</c:v>
                </c:pt>
              </c:numCache>
            </c:numRef>
          </c:xVal>
          <c:yVal>
            <c:numRef>
              <c:f>SML!$D$13:$D$42</c:f>
              <c:numCache>
                <c:formatCode>0.00%</c:formatCode>
                <c:ptCount val="30"/>
                <c:pt idx="0">
                  <c:v>9.1411111430238137E-4</c:v>
                </c:pt>
                <c:pt idx="1">
                  <c:v>9.6565207373013606E-3</c:v>
                </c:pt>
                <c:pt idx="2">
                  <c:v>3.2135461531167834E-3</c:v>
                </c:pt>
                <c:pt idx="3">
                  <c:v>4.5186418914807767E-3</c:v>
                </c:pt>
                <c:pt idx="4">
                  <c:v>5.1722020951353864E-3</c:v>
                </c:pt>
                <c:pt idx="5">
                  <c:v>5.4436718635706705E-3</c:v>
                </c:pt>
                <c:pt idx="6">
                  <c:v>3.8964071780649319E-3</c:v>
                </c:pt>
                <c:pt idx="7">
                  <c:v>8.9326181602124143E-3</c:v>
                </c:pt>
                <c:pt idx="8">
                  <c:v>6.9176010044686084E-3</c:v>
                </c:pt>
                <c:pt idx="9">
                  <c:v>7.3577245716864477E-3</c:v>
                </c:pt>
                <c:pt idx="10">
                  <c:v>-2.5009101194480776E-3</c:v>
                </c:pt>
                <c:pt idx="11">
                  <c:v>1.7019514597802826E-3</c:v>
                </c:pt>
                <c:pt idx="12">
                  <c:v>9.7500684338470631E-3</c:v>
                </c:pt>
                <c:pt idx="13">
                  <c:v>1.8102629980794645E-3</c:v>
                </c:pt>
                <c:pt idx="14">
                  <c:v>1.0769845272272652E-2</c:v>
                </c:pt>
                <c:pt idx="15">
                  <c:v>-7.0275808764562247E-4</c:v>
                </c:pt>
                <c:pt idx="16">
                  <c:v>1.7539018215643543E-3</c:v>
                </c:pt>
                <c:pt idx="17">
                  <c:v>1.1243401135592017E-3</c:v>
                </c:pt>
                <c:pt idx="18">
                  <c:v>2.8115796310156102E-3</c:v>
                </c:pt>
                <c:pt idx="19">
                  <c:v>6.9120869535054807E-3</c:v>
                </c:pt>
                <c:pt idx="20">
                  <c:v>-2.2013357798326433E-3</c:v>
                </c:pt>
                <c:pt idx="21">
                  <c:v>3.0825188631963618E-3</c:v>
                </c:pt>
                <c:pt idx="22">
                  <c:v>1.2486738559424615E-3</c:v>
                </c:pt>
                <c:pt idx="23">
                  <c:v>6.4345078064852301E-3</c:v>
                </c:pt>
                <c:pt idx="24">
                  <c:v>7.5883934916991264E-3</c:v>
                </c:pt>
                <c:pt idx="25">
                  <c:v>1.303877454018483E-2</c:v>
                </c:pt>
                <c:pt idx="26">
                  <c:v>7.4382329124411672E-4</c:v>
                </c:pt>
                <c:pt idx="27">
                  <c:v>3.7084483451930795E-3</c:v>
                </c:pt>
                <c:pt idx="28">
                  <c:v>1.137443399898222E-2</c:v>
                </c:pt>
                <c:pt idx="29">
                  <c:v>3.6651412752596512E-3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F-4DDD-B08C-3A334059EC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F7F8E8-7E5D-4302-902A-A18A1E8EA71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{2FF7F8E8-7E5D-4302-902A-A18A1E8EA710}</c15:txfldGUID>
                      <c15:f>SML!$B$13</c15:f>
                      <c15:dlblFieldTableCache>
                        <c:ptCount val="1"/>
                        <c:pt idx="0">
                          <c:v>HNKG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75F-4DDD-B08C-3A334059EC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00CB5B-952E-4D79-AE10-714F1332D00F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{4C00CB5B-952E-4D79-AE10-714F1332D00F}</c15:txfldGUID>
                      <c15:f>SML!$B$14</c15:f>
                      <c15:dlblFieldTableCache>
                        <c:ptCount val="1"/>
                        <c:pt idx="0">
                          <c:v>VOWG_p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75F-4DDD-B08C-3A334059EC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F88B99-2BA6-451D-97AD-2F253F7BD2BD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{F4F88B99-2BA6-451D-97AD-2F253F7BD2BD}</c15:txfldGUID>
                      <c15:f>SML!$B$15</c15:f>
                      <c15:dlblFieldTableCache>
                        <c:ptCount val="1"/>
                        <c:pt idx="0">
                          <c:v>VBKG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675F-4DDD-B08C-3A334059EC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F2302B-86DC-445D-8ED0-F7B4CAAED9CF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{1EF2302B-86DC-445D-8ED0-F7B4CAAED9CF}</c15:txfldGUID>
                      <c15:f>SML!$B$16</c15:f>
                      <c15:dlblFieldTableCache>
                        <c:ptCount val="1"/>
                        <c:pt idx="0">
                          <c:v>SAPG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75F-4DDD-B08C-3A334059EC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29D5E0-36D7-4997-BDC1-5DB4947A5279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{B729D5E0-36D7-4997-BDC1-5DB4947A5279}</c15:txfldGUID>
                      <c15:f>SML!$B$17</c15:f>
                      <c15:dlblFieldTableCache>
                        <c:ptCount val="1"/>
                        <c:pt idx="0">
                          <c:v>ALVG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75F-4DDD-B08C-3A334059EC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23EE11-4B8C-4C76-AB16-AE97B04CA2FD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{C023EE11-4B8C-4C76-AB16-AE97B04CA2FD}</c15:txfldGUID>
                      <c15:f>SML!$B$18</c15:f>
                      <c15:dlblFieldTableCache>
                        <c:ptCount val="1"/>
                        <c:pt idx="0">
                          <c:v>SIEGn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75F-4DDD-B08C-3A334059EC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8BD269-1D9E-4DB7-B39E-228B36F1542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{8F8BD269-1D9E-4DB7-B39E-228B36F1542B}</c15:txfldGUID>
                      <c15:f>SML!$B$19</c15:f>
                      <c15:dlblFieldTableCache>
                        <c:ptCount val="1"/>
                        <c:pt idx="0">
                          <c:v>DPWGn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75F-4DDD-B08C-3A334059EC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DAIGn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75F-4DDD-B08C-3A334059EC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BF3254-0AE9-4880-8F53-AB4B2A3017A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{A1BF3254-0AE9-4880-8F53-AB4B2A3017AB}</c15:txfldGUID>
                      <c15:f>SML!$B$21</c15:f>
                      <c15:dlblFieldTableCache>
                        <c:ptCount val="1"/>
                        <c:pt idx="0">
                          <c:v>IFXGn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75F-4DDD-B08C-3A334059EC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351D0F-F815-4CC5-8542-40AB0FA506D2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{CF351D0F-F815-4CC5-8542-40AB0FA506D2}</c15:txfldGUID>
                      <c15:f>SML!$B$22</c15:f>
                      <c15:dlblFieldTableCache>
                        <c:ptCount val="1"/>
                        <c:pt idx="0">
                          <c:v>BMWG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75F-4DDD-B08C-3A334059EC3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56S1</a:t>
                    </a:r>
                  </a:p>
                </c:rich>
              </c:tx>
              <c:spPr>
                <a:noFill/>
                <a:ln>
                  <a:noFill/>
                </a:ln>
                <a:effectLst>
                  <a:glow rad="457200">
                    <a:schemeClr val="accent1">
                      <a:alpha val="40000"/>
                    </a:schemeClr>
                  </a:glo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75F-4DDD-B08C-3A334059EC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ADSGn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75F-4DDD-B08C-3A334059EC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68FC98-E628-4F08-9E32-3C7DC614B37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{D568FC98-E628-4F08-9E32-3C7DC614B371}</c15:txfldGUID>
                      <c15:f>SML!$B$25</c15:f>
                      <c15:dlblFieldTableCache>
                        <c:ptCount val="1"/>
                        <c:pt idx="0">
                          <c:v>PSHG_p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75F-4DDD-B08C-3A334059EC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23CD36-1B3C-401B-ABEE-8CD67D6B33D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{6F23CD36-1B3C-401B-ABEE-8CD67D6B33D0}</c15:txfldGUID>
                      <c15:f>SML!$B$26</c15:f>
                      <c15:dlblFieldTableCache>
                        <c:ptCount val="1"/>
                        <c:pt idx="0">
                          <c:v>FAAS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75F-4DDD-B08C-3A334059EC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378A2D-3403-4790-B8FB-19155A6F428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{CC378A2D-3403-4790-B8FB-19155A6F4280}</c15:txfldGUID>
                      <c15:f>SML!$B$27</c15:f>
                      <c15:dlblFieldTableCache>
                        <c:ptCount val="1"/>
                        <c:pt idx="0">
                          <c:v>SOH1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75F-4DDD-B08C-3A334059EC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8FB135-6E3D-47C2-8128-B623F210C24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{828FB135-6E3D-47C2-8128-B623F210C24E}</c15:txfldGUID>
                      <c15:f>SML!$B$28</c15:f>
                      <c15:dlblFieldTableCache>
                        <c:ptCount val="1"/>
                        <c:pt idx="0">
                          <c:v>VNAn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75F-4DDD-B08C-3A334059EC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9BBDDC-2B7A-4501-A54E-CF044CA3DCC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{2D9BBDDC-2B7A-4501-A54E-CF044CA3DCCB}</c15:txfldGUID>
                      <c15:f>SML!$B$29</c15:f>
                      <c15:dlblFieldTableCache>
                        <c:ptCount val="1"/>
                        <c:pt idx="0">
                          <c:v>MRCG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75F-4DDD-B08C-3A334059EC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7A7A46-BAF0-4DAB-931D-950AD405392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{A87A7A46-BAF0-4DAB-931D-950AD405392E}</c15:txfldGUID>
                      <c15:f>SML!$B$30</c15:f>
                      <c15:dlblFieldTableCache>
                        <c:ptCount val="1"/>
                        <c:pt idx="0">
                          <c:v>DB1Gn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75F-4DDD-B08C-3A334059EC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3EE602-5AF5-4715-98B1-E75D1FC2FDF8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{9D3EE602-5AF5-4715-98B1-E75D1FC2FDF8}</c15:txfldGUID>
                      <c15:f>SML!$B$31</c15:f>
                      <c15:dlblFieldTableCache>
                        <c:ptCount val="1"/>
                        <c:pt idx="0">
                          <c:v>RWEG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75F-4DDD-B08C-3A334059EC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2D14C3-2C48-4475-AB0A-1456A995220A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{FA2D14C3-2C48-4475-AB0A-1456A995220A}</c15:txfldGUID>
                      <c15:f>SML!$B$32</c15:f>
                      <c15:dlblFieldTableCache>
                        <c:ptCount val="1"/>
                        <c:pt idx="0">
                          <c:v>MTXGn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75F-4DDD-B08C-3A334059EC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DWNG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75F-4DDD-B08C-3A334059EC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8A3964-4BCC-430F-8C8E-91FD3CC79627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{218A3964-4BCC-430F-8C8E-91FD3CC79627}</c15:txfldGUID>
                      <c15:f>SML!$B$34</c15:f>
                      <c15:dlblFieldTableCache>
                        <c:ptCount val="1"/>
                        <c:pt idx="0">
                          <c:v>FMEG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75F-4DDD-B08C-3A334059EC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EONGn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75F-4DDD-B08C-3A334059EC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149D7E-6E1C-49E9-9092-65C2C8381A0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{5B149D7E-6E1C-49E9-9092-65C2C8381A01}</c15:txfldGUID>
                      <c15:f>SML!$B$36</c15:f>
                      <c15:dlblFieldTableCache>
                        <c:ptCount val="1"/>
                        <c:pt idx="0">
                          <c:v>BASFn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75F-4DDD-B08C-3A334059EC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EDD23C-C7A3-40F2-ADD3-5436BDD9248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{C0EDD23C-C7A3-40F2-ADD3-5436BDD9248E}</c15:txfldGUID>
                      <c15:f>SML!$B$37</c15:f>
                      <c15:dlblFieldTableCache>
                        <c:ptCount val="1"/>
                        <c:pt idx="0">
                          <c:v>CONG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75F-4DDD-B08C-3A334059EC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E4896C-FD16-4446-A372-DC7DBB2E1E04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{EBE4896C-FD16-4446-A372-DC7DBB2E1E04}</c15:txfldGUID>
                      <c15:f>SML!$B$38</c15:f>
                      <c15:dlblFieldTableCache>
                        <c:ptCount val="1"/>
                        <c:pt idx="0">
                          <c:v>CECG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75F-4DDD-B08C-3A334059EC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4A72C8-B2EE-4046-836E-95102B27F02A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{B84A72C8-B2EE-4046-836E-95102B27F02A}</c15:txfldGUID>
                      <c15:f>SML!$B$39</c15:f>
                      <c15:dlblFieldTableCache>
                        <c:ptCount val="1"/>
                        <c:pt idx="0">
                          <c:v>PUMG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75F-4DDD-B08C-3A334059EC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48CA94-54FB-4F52-92FD-7745F815DC8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{3A48CA94-54FB-4F52-92FD-7745F815DC81}</c15:txfldGUID>
                      <c15:f>SML!$B$40</c15:f>
                      <c15:dlblFieldTableCache>
                        <c:ptCount val="1"/>
                        <c:pt idx="0">
                          <c:v>MUV2d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75F-4DDD-B08C-3A334059EC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437E8A-09A6-46DC-9D4A-5B08E66FD1F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{3A437E8A-09A6-46DC-9D4A-5B08E66FD1FE}</c15:txfldGUID>
                      <c15:f>SML!$B$41</c15:f>
                      <c15:dlblFieldTableCache>
                        <c:ptCount val="1"/>
                        <c:pt idx="0">
                          <c:v>TKAG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75F-4DDD-B08C-3A334059EC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FAA099-B297-4077-8828-290EB789D6F9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{35FAA099-B297-4077-8828-290EB789D6F9}</c15:txfldGUID>
                      <c15:f>SML!$B$42</c15:f>
                      <c15:dlblFieldTableCache>
                        <c:ptCount val="1"/>
                        <c:pt idx="0">
                          <c:v>TLXGn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75F-4DDD-B08C-3A334059EC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SML!$C$13:$C$42</c:f>
              <c:numCache>
                <c:formatCode>0.00</c:formatCode>
                <c:ptCount val="30"/>
                <c:pt idx="0">
                  <c:v>0.5727643208627835</c:v>
                </c:pt>
                <c:pt idx="1">
                  <c:v>1.5917360522604622</c:v>
                </c:pt>
                <c:pt idx="2">
                  <c:v>0.84077501857399894</c:v>
                </c:pt>
                <c:pt idx="3">
                  <c:v>0.99289047889994719</c:v>
                </c:pt>
                <c:pt idx="4">
                  <c:v>1.069066201727964</c:v>
                </c:pt>
                <c:pt idx="5">
                  <c:v>1.1007073661086531</c:v>
                </c:pt>
                <c:pt idx="6">
                  <c:v>0.920365899223757</c:v>
                </c:pt>
                <c:pt idx="7">
                  <c:v>1.5073615726662966</c:v>
                </c:pt>
                <c:pt idx="8">
                  <c:v>1.2725012071004069</c:v>
                </c:pt>
                <c:pt idx="9">
                  <c:v>1.3237998184280058</c:v>
                </c:pt>
                <c:pt idx="10">
                  <c:v>0.17472645151380256</c:v>
                </c:pt>
                <c:pt idx="11">
                  <c:v>0.66459106835178716</c:v>
                </c:pt>
                <c:pt idx="12">
                  <c:v>1.6026395059337688</c:v>
                </c:pt>
                <c:pt idx="13">
                  <c:v>0.67721532190091371</c:v>
                </c:pt>
                <c:pt idx="14">
                  <c:v>1.7214996160750407</c:v>
                </c:pt>
                <c:pt idx="15">
                  <c:v>0.38431009814845479</c:v>
                </c:pt>
                <c:pt idx="16">
                  <c:v>0.67064614382601229</c:v>
                </c:pt>
                <c:pt idx="17">
                  <c:v>0.5972675661464607</c:v>
                </c:pt>
                <c:pt idx="18">
                  <c:v>0.79392380241594962</c:v>
                </c:pt>
                <c:pt idx="19">
                  <c:v>1.2718585167782637</c:v>
                </c:pt>
                <c:pt idx="20">
                  <c:v>0.20964334475993945</c:v>
                </c:pt>
                <c:pt idx="21">
                  <c:v>0.82550313013270238</c:v>
                </c:pt>
                <c:pt idx="22">
                  <c:v>0.61175928801844071</c:v>
                </c:pt>
                <c:pt idx="23">
                  <c:v>1.2161942695850836</c:v>
                </c:pt>
                <c:pt idx="24">
                  <c:v>1.3506854390910561</c:v>
                </c:pt>
                <c:pt idx="25">
                  <c:v>1.9859547130383701</c:v>
                </c:pt>
                <c:pt idx="26">
                  <c:v>0.55291642018318832</c:v>
                </c:pt>
                <c:pt idx="27">
                  <c:v>0.89845835363597448</c:v>
                </c:pt>
                <c:pt idx="28">
                  <c:v>1.7919674674118251</c:v>
                </c:pt>
                <c:pt idx="29">
                  <c:v>0.89341069721917443</c:v>
                </c:pt>
              </c:numCache>
            </c:numRef>
          </c:xVal>
          <c:yVal>
            <c:numRef>
              <c:f>SML!$E$13:$E$42</c:f>
              <c:numCache>
                <c:formatCode>0.00%</c:formatCode>
                <c:ptCount val="30"/>
                <c:pt idx="0">
                  <c:v>-9.7228148501555828E-4</c:v>
                </c:pt>
                <c:pt idx="1">
                  <c:v>2.50010100186575E-3</c:v>
                </c:pt>
                <c:pt idx="2">
                  <c:v>4.0743109326464945E-2</c:v>
                </c:pt>
                <c:pt idx="3">
                  <c:v>7.9783098437083422E-3</c:v>
                </c:pt>
                <c:pt idx="4">
                  <c:v>5.3214208137620442E-3</c:v>
                </c:pt>
                <c:pt idx="5">
                  <c:v>6.9288135410347593E-3</c:v>
                </c:pt>
                <c:pt idx="6">
                  <c:v>6.5518805534664241E-3</c:v>
                </c:pt>
                <c:pt idx="7">
                  <c:v>-7.7221345639838133E-4</c:v>
                </c:pt>
                <c:pt idx="8">
                  <c:v>1.7396897908116257E-2</c:v>
                </c:pt>
                <c:pt idx="9">
                  <c:v>-2.1073168997166715E-3</c:v>
                </c:pt>
                <c:pt idx="10">
                  <c:v>3.4012698606636367E-2</c:v>
                </c:pt>
                <c:pt idx="11">
                  <c:v>1.9868434168737327E-2</c:v>
                </c:pt>
                <c:pt idx="12">
                  <c:v>2.6243704516471329E-3</c:v>
                </c:pt>
                <c:pt idx="13">
                  <c:v>3.4350656596959711E-2</c:v>
                </c:pt>
                <c:pt idx="14">
                  <c:v>3.3368444812851158E-2</c:v>
                </c:pt>
                <c:pt idx="15">
                  <c:v>8.6763701650059127E-3</c:v>
                </c:pt>
                <c:pt idx="16">
                  <c:v>6.7143675275954376E-3</c:v>
                </c:pt>
                <c:pt idx="17">
                  <c:v>9.9157211126981865E-3</c:v>
                </c:pt>
                <c:pt idx="18">
                  <c:v>4.7818605397556514E-3</c:v>
                </c:pt>
                <c:pt idx="19">
                  <c:v>1.2239979045882679E-2</c:v>
                </c:pt>
                <c:pt idx="20">
                  <c:v>7.5572808797761629E-3</c:v>
                </c:pt>
                <c:pt idx="21">
                  <c:v>-6.1493094837483642E-4</c:v>
                </c:pt>
                <c:pt idx="22">
                  <c:v>-2.6173178187012709E-3</c:v>
                </c:pt>
                <c:pt idx="23">
                  <c:v>-1.5585568749412599E-3</c:v>
                </c:pt>
                <c:pt idx="24">
                  <c:v>-7.798403172385969E-3</c:v>
                </c:pt>
                <c:pt idx="25">
                  <c:v>-7.519232637903564E-3</c:v>
                </c:pt>
                <c:pt idx="26">
                  <c:v>2.1610757701367812E-2</c:v>
                </c:pt>
                <c:pt idx="27">
                  <c:v>5.2997146708404106E-3</c:v>
                </c:pt>
                <c:pt idx="28">
                  <c:v>-9.5495114311798957E-3</c:v>
                </c:pt>
                <c:pt idx="29">
                  <c:v>3.9425184826952812E-3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5F-4DDD-B08C-3A334059EC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50480511"/>
        <c:axId val="1450500895"/>
      </c:scatterChart>
      <c:valAx>
        <c:axId val="1450480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beta</a:t>
                </a:r>
                <a:endParaRPr lang="vi-V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450500895"/>
        <c:crosses val="autoZero"/>
        <c:crossBetween val="midCat"/>
      </c:valAx>
      <c:valAx>
        <c:axId val="145050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 b="1"/>
                  <a:t>E(R)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450480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234345</xdr:colOff>
      <xdr:row>72</xdr:row>
      <xdr:rowOff>10279</xdr:rowOff>
    </xdr:from>
    <xdr:to>
      <xdr:col>15</xdr:col>
      <xdr:colOff>529166</xdr:colOff>
      <xdr:row>100</xdr:row>
      <xdr:rowOff>21167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A2336028-8ED3-4A04-9F88-EA42069B2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775992</xdr:colOff>
      <xdr:row>127</xdr:row>
      <xdr:rowOff>1263</xdr:rowOff>
    </xdr:from>
    <xdr:to>
      <xdr:col>13</xdr:col>
      <xdr:colOff>419745</xdr:colOff>
      <xdr:row>151</xdr:row>
      <xdr:rowOff>75340</xdr:rowOff>
    </xdr:to>
    <xdr:graphicFrame macro="">
      <xdr:nvGraphicFramePr>
        <xdr:cNvPr id="2" name="Biểu đồ 1">
          <a:extLst>
            <a:ext uri="{FF2B5EF4-FFF2-40B4-BE49-F238E27FC236}">
              <a16:creationId xmlns:a16="http://schemas.microsoft.com/office/drawing/2014/main" id="{60A2926A-71F0-4E88-97C7-F640A43B1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596900</xdr:colOff>
      <xdr:row>35</xdr:row>
      <xdr:rowOff>127000</xdr:rowOff>
    </xdr:from>
    <xdr:to>
      <xdr:col>16</xdr:col>
      <xdr:colOff>330200</xdr:colOff>
      <xdr:row>64</xdr:row>
      <xdr:rowOff>50800</xdr:rowOff>
    </xdr:to>
    <xdr:graphicFrame macro="">
      <xdr:nvGraphicFramePr>
        <xdr:cNvPr id="5" name="Biểu đồ 4">
          <a:extLst>
            <a:ext uri="{FF2B5EF4-FFF2-40B4-BE49-F238E27FC236}">
              <a16:creationId xmlns:a16="http://schemas.microsoft.com/office/drawing/2014/main" id="{70397554-9AE5-4D22-B18C-60069F332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377977</xdr:colOff>
      <xdr:row>4</xdr:row>
      <xdr:rowOff>0</xdr:rowOff>
    </xdr:from>
    <xdr:to>
      <xdr:col>17</xdr:col>
      <xdr:colOff>414515</xdr:colOff>
      <xdr:row>32</xdr:row>
      <xdr:rowOff>88193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C885F2F1-E289-4821-9C30-2A875DD2C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48559</xdr:colOff>
      <xdr:row>46</xdr:row>
      <xdr:rowOff>10459</xdr:rowOff>
    </xdr:from>
    <xdr:to>
      <xdr:col>11</xdr:col>
      <xdr:colOff>494925</xdr:colOff>
      <xdr:row>67</xdr:row>
      <xdr:rowOff>112058</xdr:rowOff>
    </xdr:to>
    <xdr:graphicFrame macro="">
      <xdr:nvGraphicFramePr>
        <xdr:cNvPr id="5" name="Biểu đồ 4">
          <a:extLst>
            <a:ext uri="{FF2B5EF4-FFF2-40B4-BE49-F238E27FC236}">
              <a16:creationId xmlns:a16="http://schemas.microsoft.com/office/drawing/2014/main" id="{2359F00D-068B-4B55-B9C9-73A2E9A1A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440765</xdr:colOff>
      <xdr:row>44</xdr:row>
      <xdr:rowOff>66487</xdr:rowOff>
    </xdr:from>
    <xdr:to>
      <xdr:col>25</xdr:col>
      <xdr:colOff>0</xdr:colOff>
      <xdr:row>64</xdr:row>
      <xdr:rowOff>149411</xdr:rowOff>
    </xdr:to>
    <xdr:graphicFrame macro="">
      <xdr:nvGraphicFramePr>
        <xdr:cNvPr id="2" name="Biểu đồ 1">
          <a:extLst>
            <a:ext uri="{FF2B5EF4-FFF2-40B4-BE49-F238E27FC236}">
              <a16:creationId xmlns:a16="http://schemas.microsoft.com/office/drawing/2014/main" id="{7DEAA28A-0A9E-41B6-909A-59502BD75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463550</xdr:colOff>
      <xdr:row>4</xdr:row>
      <xdr:rowOff>176776</xdr:rowOff>
    </xdr:from>
    <xdr:to>
      <xdr:col>7</xdr:col>
      <xdr:colOff>194597</xdr:colOff>
      <xdr:row>8</xdr:row>
      <xdr:rowOff>61451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Hộp Văn bản 1">
              <a:extLst>
                <a:ext uri="{FF2B5EF4-FFF2-40B4-BE49-F238E27FC236}">
                  <a16:creationId xmlns:a16="http://schemas.microsoft.com/office/drawing/2014/main" id="{F13BD159-8757-4C20-94C4-5CD31E234513}"/>
                </a:ext>
              </a:extLst>
            </xdr:cNvPr>
            <xdr:cNvSpPr txBox="1"/>
          </xdr:nvSpPr>
          <xdr:spPr>
            <a:xfrm>
              <a:off x="463550" y="893711"/>
              <a:ext cx="4360402" cy="1267337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</a:t>
              </a:r>
              <a:r>
                <a:rPr lang="vi-V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CAPM: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</m:t>
                    </m:r>
                    <m:d>
                      <m:d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i</m:t>
                            </m:r>
                          </m:sub>
                        </m:sSub>
                      </m:e>
                    </m:d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d>
                          <m:d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</m:e>
                        </m:d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𝑟𝑖𝑠𝑘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𝑓𝑟𝑒𝑒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𝑟𝑎𝑡𝑒</m:t>
                    </m:r>
                  </m:oMath>
                  <m:oMath xmlns:m="http://schemas.openxmlformats.org/officeDocument/2006/math"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</m:t>
                    </m:r>
                    <m:d>
                      <m:d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</m:e>
                    </m:d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𝑒𝑥𝑝𝑒𝑐𝑡𝑒𝑑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𝑅𝑂𝑅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𝑜𝑓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𝑡h𝑒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𝑀𝑎𝑟𝑘𝑒𝑡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𝑏𝑒𝑡𝑎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𝑜𝑓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𝑠𝑡𝑜𝑐𝑘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</m:oMath>
                </m:oMathPara>
              </a14:m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latin typeface="+mj-lt"/>
              </a:endParaRPr>
            </a:p>
          </xdr:txBody>
        </xdr:sp>
      </mc:Choice>
      <mc:Fallback xmlns="">
        <xdr:sp macro="" textlink="">
          <xdr:nvSpPr>
            <xdr:cNvPr id="2" name="Hộp Văn bản 1">
              <a:extLst>
                <a:ext uri="{FF2B5EF4-FFF2-40B4-BE49-F238E27FC236}">
                  <a16:creationId xmlns:a16="http://schemas.microsoft.com/office/drawing/2014/main" id="{F13BD159-8757-4C20-94C4-5CD31E234513}"/>
                </a:ext>
              </a:extLst>
            </xdr:cNvPr>
            <xdr:cNvSpPr txBox="1"/>
          </xdr:nvSpPr>
          <xdr:spPr>
            <a:xfrm>
              <a:off x="463550" y="893711"/>
              <a:ext cx="4360402" cy="1267337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</a:t>
              </a:r>
              <a:r>
                <a:rPr lang="vi-V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CAPM:</a:t>
              </a:r>
            </a:p>
            <a:p>
              <a:pPr/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𝐸(𝑟_i )= 𝑟_𝑓+ 𝛽_𝐴 [𝐸(𝑟_𝑀 )−𝑟_𝑓 ]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𝑟_𝑓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 𝑟𝑖𝑠𝑘-𝑓𝑟𝑒𝑒 𝑟𝑎𝑡𝑒</a:t>
              </a:r>
              <a:br>
                <a:rPr lang="vi-VN" sz="11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𝐸(𝑟_𝑀 )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𝑒𝑥𝑝𝑒𝑐𝑡𝑒𝑑 𝑅𝑂𝑅 𝑜𝑓 𝑡ℎ𝑒 𝑀𝑎𝑟𝑘𝑒𝑡</a:t>
              </a:r>
              <a:br>
                <a:rPr lang="vi-VN" sz="11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𝛽_𝐴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𝑏𝑒𝑡𝑎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𝑜𝑓 𝑠𝑡𝑜𝑐𝑘 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latin typeface="+mj-lt"/>
              </a:endParaRPr>
            </a:p>
          </xdr:txBody>
        </xdr:sp>
      </mc:Fallback>
    </mc:AlternateContent>
    <xdr:clientData/>
  </xdr:twoCellAnchor>
  <xdr:twoCellAnchor>
    <xdr:from>
      <xdr:col>7</xdr:col>
      <xdr:colOff>498929</xdr:colOff>
      <xdr:row>10</xdr:row>
      <xdr:rowOff>468919</xdr:rowOff>
    </xdr:from>
    <xdr:to>
      <xdr:col>18</xdr:col>
      <xdr:colOff>172861</xdr:colOff>
      <xdr:row>38</xdr:row>
      <xdr:rowOff>74435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D54B82AA-63FB-439E-A7A1-8B70A9B50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ÔNG TIN"/>
      <sheetName val="GIÁ"/>
      <sheetName val="1. TSSL, PS, DLC"/>
      <sheetName val="2. VAR-COV MATRIX"/>
      <sheetName val="4. NO SHORT SELL"/>
      <sheetName val="5. SO SANH BAN&amp;KHONG BAN KHONG"/>
      <sheetName val="6. MÔ PHỎNG GIÁ&amp;TSSL"/>
      <sheetName val="7. CML"/>
      <sheetName val="8. ĐƯỜNG SML VÀ ĐỊNH GIÁ"/>
    </sheetNames>
    <sheetDataSet>
      <sheetData sheetId="0" refreshError="1"/>
      <sheetData sheetId="1" refreshError="1"/>
      <sheetData sheetId="2" refreshError="1"/>
      <sheetData sheetId="3" refreshError="1"/>
      <sheetData sheetId="4">
        <row r="70">
          <cell r="B70">
            <v>4.0743108658015212E-2</v>
          </cell>
        </row>
        <row r="71">
          <cell r="B71">
            <v>0.16069060806519317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vn.investing.com/equities/german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818E-7B7B-4ED6-AD7D-B01270073D40}">
  <sheetPr codeName="Trang_tính10"/>
  <dimension ref="B1:P40"/>
  <sheetViews>
    <sheetView zoomScale="65" zoomScaleNormal="65" workbookViewId="0">
      <selection activeCell="B32" sqref="B32:O40"/>
    </sheetView>
  </sheetViews>
  <sheetFormatPr defaultRowHeight="14" x14ac:dyDescent="0.3"/>
  <cols>
    <col min="1" max="1" width="4.83203125" customWidth="1"/>
  </cols>
  <sheetData>
    <row r="1" spans="2:16" ht="18.5" customHeight="1" x14ac:dyDescent="0.3"/>
    <row r="2" spans="2:16" ht="14" customHeight="1" x14ac:dyDescent="0.3">
      <c r="B2" s="137" t="s">
        <v>153</v>
      </c>
      <c r="C2" s="137"/>
      <c r="D2" s="137"/>
      <c r="E2" s="137"/>
      <c r="F2" s="137"/>
      <c r="G2" s="94"/>
      <c r="H2" s="94"/>
      <c r="I2" s="94"/>
      <c r="J2" s="94"/>
      <c r="K2" s="94"/>
      <c r="L2" s="94"/>
      <c r="M2" s="94"/>
      <c r="N2" s="94"/>
      <c r="O2" s="94"/>
      <c r="P2" s="93"/>
    </row>
    <row r="3" spans="2:16" x14ac:dyDescent="0.3">
      <c r="B3" s="137"/>
      <c r="C3" s="137"/>
      <c r="D3" s="137"/>
      <c r="E3" s="137"/>
      <c r="F3" s="137"/>
      <c r="G3" s="94"/>
      <c r="H3" s="94"/>
      <c r="I3" s="94"/>
      <c r="J3" s="94"/>
      <c r="K3" s="94"/>
      <c r="L3" s="94"/>
      <c r="M3" s="94"/>
      <c r="N3" s="94"/>
      <c r="O3" s="94"/>
      <c r="P3" s="93"/>
    </row>
    <row r="4" spans="2:16" x14ac:dyDescent="0.3">
      <c r="B4" s="137"/>
      <c r="C4" s="137"/>
      <c r="D4" s="137"/>
      <c r="E4" s="137"/>
      <c r="F4" s="137"/>
      <c r="G4" s="94"/>
      <c r="H4" s="94"/>
      <c r="I4" s="94"/>
      <c r="J4" s="94"/>
      <c r="K4" s="94"/>
      <c r="L4" s="94"/>
      <c r="M4" s="94"/>
      <c r="N4" s="94"/>
      <c r="O4" s="94"/>
      <c r="P4" s="93"/>
    </row>
    <row r="5" spans="2:16" x14ac:dyDescent="0.3">
      <c r="B5" s="137"/>
      <c r="C5" s="137"/>
      <c r="D5" s="137"/>
      <c r="E5" s="137"/>
      <c r="F5" s="137"/>
      <c r="G5" s="94"/>
      <c r="H5" s="94"/>
      <c r="I5" s="94"/>
      <c r="J5" s="94"/>
      <c r="K5" s="94"/>
      <c r="L5" s="94"/>
      <c r="M5" s="94"/>
      <c r="N5" s="94"/>
      <c r="O5" s="94"/>
      <c r="P5" s="93"/>
    </row>
    <row r="6" spans="2:16" ht="18" customHeight="1" x14ac:dyDescent="0.3"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3"/>
    </row>
    <row r="7" spans="2:16" ht="14" customHeight="1" x14ac:dyDescent="0.3">
      <c r="B7" s="139" t="s">
        <v>155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93"/>
    </row>
    <row r="8" spans="2:16" x14ac:dyDescent="0.3"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93"/>
    </row>
    <row r="9" spans="2:16" x14ac:dyDescent="0.3"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93"/>
    </row>
    <row r="10" spans="2:16" x14ac:dyDescent="0.3">
      <c r="B10" s="139"/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93"/>
    </row>
    <row r="11" spans="2:16" x14ac:dyDescent="0.3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93"/>
    </row>
    <row r="12" spans="2:16" x14ac:dyDescent="0.3">
      <c r="B12" s="139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93"/>
    </row>
    <row r="13" spans="2:16" x14ac:dyDescent="0.3"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93"/>
    </row>
    <row r="14" spans="2:16" x14ac:dyDescent="0.3">
      <c r="B14" s="139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93"/>
    </row>
    <row r="15" spans="2:16" x14ac:dyDescent="0.3"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93"/>
    </row>
    <row r="16" spans="2:16" x14ac:dyDescent="0.3">
      <c r="B16" s="139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93"/>
    </row>
    <row r="17" spans="2:16" ht="14" customHeight="1" x14ac:dyDescent="0.3"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93"/>
    </row>
    <row r="18" spans="2:16" x14ac:dyDescent="0.3">
      <c r="B18" s="139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</row>
    <row r="19" spans="2:16" x14ac:dyDescent="0.3">
      <c r="B19" s="139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</row>
    <row r="20" spans="2:16" x14ac:dyDescent="0.3">
      <c r="B20" s="139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</row>
    <row r="21" spans="2:16" x14ac:dyDescent="0.3"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</row>
    <row r="22" spans="2:16" x14ac:dyDescent="0.3">
      <c r="B22" s="139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</row>
    <row r="23" spans="2:16" x14ac:dyDescent="0.3"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</row>
    <row r="24" spans="2:16" x14ac:dyDescent="0.3">
      <c r="B24" s="139"/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</row>
    <row r="25" spans="2:16" x14ac:dyDescent="0.3"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39"/>
    </row>
    <row r="26" spans="2:16" x14ac:dyDescent="0.3"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39"/>
    </row>
    <row r="27" spans="2:16" x14ac:dyDescent="0.3"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</row>
    <row r="28" spans="2:16" x14ac:dyDescent="0.3"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</row>
    <row r="29" spans="2:16" ht="14" customHeight="1" x14ac:dyDescent="0.3"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</row>
    <row r="30" spans="2:16" x14ac:dyDescent="0.3"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</row>
    <row r="31" spans="2:16" ht="19" customHeight="1" x14ac:dyDescent="0.3"/>
    <row r="32" spans="2:16" x14ac:dyDescent="0.3">
      <c r="B32" s="138" t="s">
        <v>156</v>
      </c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</row>
    <row r="33" spans="2:15" x14ac:dyDescent="0.3"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</row>
    <row r="34" spans="2:15" x14ac:dyDescent="0.3"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</row>
    <row r="35" spans="2:15" x14ac:dyDescent="0.3"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</row>
    <row r="36" spans="2:15" x14ac:dyDescent="0.3"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</row>
    <row r="37" spans="2:15" x14ac:dyDescent="0.3"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</row>
    <row r="38" spans="2:15" x14ac:dyDescent="0.3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</row>
    <row r="39" spans="2:15" x14ac:dyDescent="0.3"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</row>
    <row r="40" spans="2:15" x14ac:dyDescent="0.3"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</row>
  </sheetData>
  <mergeCells count="3">
    <mergeCell ref="B2:F5"/>
    <mergeCell ref="B32:O40"/>
    <mergeCell ref="B7:O30"/>
  </mergeCells>
  <pageMargins left="0.7" right="0.7" top="0.75" bottom="0.75" header="0.3" footer="0.3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B8FB3-0D15-4E85-AC55-44F504F45A3D}">
  <sheetPr codeName="Trang_tính1"/>
  <dimension ref="A1:AF79"/>
  <sheetViews>
    <sheetView view="pageBreakPreview" topLeftCell="A71" zoomScale="90" zoomScaleNormal="80" zoomScaleSheetLayoutView="90" workbookViewId="0">
      <selection activeCell="C6" sqref="C6"/>
    </sheetView>
  </sheetViews>
  <sheetFormatPr defaultRowHeight="14" x14ac:dyDescent="0.3"/>
  <cols>
    <col min="1" max="1" width="6.83203125" customWidth="1"/>
    <col min="2" max="23" width="5.9140625" customWidth="1"/>
    <col min="24" max="24" width="5.08203125" customWidth="1"/>
    <col min="25" max="26" width="5.9140625" customWidth="1"/>
    <col min="27" max="27" width="4.75" customWidth="1"/>
    <col min="28" max="32" width="5.9140625" customWidth="1"/>
  </cols>
  <sheetData>
    <row r="1" spans="1:32" s="1" customFormat="1" ht="16" thickBot="1" x14ac:dyDescent="0.4">
      <c r="A1" s="140" t="s">
        <v>129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96"/>
      <c r="N1" s="96" t="s">
        <v>154</v>
      </c>
      <c r="O1" s="96"/>
      <c r="P1" s="97" t="s">
        <v>118</v>
      </c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</row>
    <row r="2" spans="1:32" s="2" customFormat="1" ht="12.5" x14ac:dyDescent="0.3">
      <c r="A2" s="98"/>
      <c r="B2" s="99">
        <v>1</v>
      </c>
      <c r="C2" s="99">
        <v>2</v>
      </c>
      <c r="D2" s="99">
        <v>3</v>
      </c>
      <c r="E2" s="99">
        <v>4</v>
      </c>
      <c r="F2" s="99">
        <v>5</v>
      </c>
      <c r="G2" s="99">
        <v>6</v>
      </c>
      <c r="H2" s="99">
        <v>7</v>
      </c>
      <c r="I2" s="99">
        <v>8</v>
      </c>
      <c r="J2" s="99">
        <v>9</v>
      </c>
      <c r="K2" s="99">
        <v>10</v>
      </c>
      <c r="L2" s="99">
        <v>11</v>
      </c>
      <c r="M2" s="99">
        <v>12</v>
      </c>
      <c r="N2" s="99">
        <v>13</v>
      </c>
      <c r="O2" s="99">
        <v>14</v>
      </c>
      <c r="P2" s="99">
        <v>15</v>
      </c>
      <c r="Q2" s="99">
        <v>16</v>
      </c>
      <c r="R2" s="99">
        <v>17</v>
      </c>
      <c r="S2" s="99">
        <v>18</v>
      </c>
      <c r="T2" s="99">
        <v>19</v>
      </c>
      <c r="U2" s="99">
        <v>20</v>
      </c>
      <c r="V2" s="99">
        <v>21</v>
      </c>
      <c r="W2" s="99">
        <v>22</v>
      </c>
      <c r="X2" s="99">
        <v>23</v>
      </c>
      <c r="Y2" s="99">
        <v>24</v>
      </c>
      <c r="Z2" s="99">
        <v>25</v>
      </c>
      <c r="AA2" s="99">
        <v>26</v>
      </c>
      <c r="AB2" s="99">
        <v>27</v>
      </c>
      <c r="AC2" s="99">
        <v>28</v>
      </c>
      <c r="AD2" s="99">
        <v>29</v>
      </c>
      <c r="AE2" s="100">
        <v>30</v>
      </c>
      <c r="AF2" s="101">
        <v>31</v>
      </c>
    </row>
    <row r="3" spans="1:32" s="3" customFormat="1" ht="60" x14ac:dyDescent="0.3">
      <c r="A3" s="102"/>
      <c r="B3" s="103" t="s">
        <v>19</v>
      </c>
      <c r="C3" s="104" t="s">
        <v>20</v>
      </c>
      <c r="D3" s="104" t="s">
        <v>130</v>
      </c>
      <c r="E3" s="104" t="s">
        <v>21</v>
      </c>
      <c r="F3" s="103" t="s">
        <v>22</v>
      </c>
      <c r="G3" s="104" t="s">
        <v>23</v>
      </c>
      <c r="H3" s="104" t="s">
        <v>24</v>
      </c>
      <c r="I3" s="103" t="s">
        <v>25</v>
      </c>
      <c r="J3" s="104" t="s">
        <v>2</v>
      </c>
      <c r="K3" s="104" t="s">
        <v>26</v>
      </c>
      <c r="L3" s="104" t="s">
        <v>120</v>
      </c>
      <c r="M3" s="104" t="s">
        <v>3</v>
      </c>
      <c r="N3" s="104" t="s">
        <v>27</v>
      </c>
      <c r="O3" s="105" t="s">
        <v>4</v>
      </c>
      <c r="P3" s="105" t="s">
        <v>7</v>
      </c>
      <c r="Q3" s="104" t="s">
        <v>28</v>
      </c>
      <c r="R3" s="104" t="s">
        <v>29</v>
      </c>
      <c r="S3" s="104" t="s">
        <v>30</v>
      </c>
      <c r="T3" s="104" t="s">
        <v>31</v>
      </c>
      <c r="U3" s="104" t="s">
        <v>5</v>
      </c>
      <c r="V3" s="104" t="s">
        <v>32</v>
      </c>
      <c r="W3" s="104" t="s">
        <v>33</v>
      </c>
      <c r="X3" s="104" t="s">
        <v>34</v>
      </c>
      <c r="Y3" s="104" t="s">
        <v>35</v>
      </c>
      <c r="Z3" s="104" t="s">
        <v>36</v>
      </c>
      <c r="AA3" s="104" t="s">
        <v>37</v>
      </c>
      <c r="AB3" s="104" t="s">
        <v>6</v>
      </c>
      <c r="AC3" s="104" t="s">
        <v>38</v>
      </c>
      <c r="AD3" s="104" t="s">
        <v>39</v>
      </c>
      <c r="AE3" s="106" t="s">
        <v>40</v>
      </c>
      <c r="AF3" s="107" t="s">
        <v>8</v>
      </c>
    </row>
    <row r="4" spans="1:32" s="2" customFormat="1" ht="21.5" thickBot="1" x14ac:dyDescent="0.35">
      <c r="A4" s="108" t="s">
        <v>9</v>
      </c>
      <c r="B4" s="109" t="s">
        <v>41</v>
      </c>
      <c r="C4" s="109" t="s">
        <v>42</v>
      </c>
      <c r="D4" s="109" t="s">
        <v>10</v>
      </c>
      <c r="E4" s="109" t="s">
        <v>43</v>
      </c>
      <c r="F4" s="110" t="s">
        <v>44</v>
      </c>
      <c r="G4" s="109" t="s">
        <v>45</v>
      </c>
      <c r="H4" s="110" t="s">
        <v>46</v>
      </c>
      <c r="I4" s="110" t="s">
        <v>47</v>
      </c>
      <c r="J4" s="109" t="s">
        <v>12</v>
      </c>
      <c r="K4" s="109" t="s">
        <v>48</v>
      </c>
      <c r="L4" s="109" t="s">
        <v>11</v>
      </c>
      <c r="M4" s="110" t="s">
        <v>13</v>
      </c>
      <c r="N4" s="110" t="s">
        <v>49</v>
      </c>
      <c r="O4" s="109" t="s">
        <v>14</v>
      </c>
      <c r="P4" s="110" t="s">
        <v>17</v>
      </c>
      <c r="Q4" s="109" t="s">
        <v>50</v>
      </c>
      <c r="R4" s="109" t="s">
        <v>51</v>
      </c>
      <c r="S4" s="109" t="s">
        <v>52</v>
      </c>
      <c r="T4" s="110" t="s">
        <v>53</v>
      </c>
      <c r="U4" s="109" t="s">
        <v>15</v>
      </c>
      <c r="V4" s="110" t="s">
        <v>54</v>
      </c>
      <c r="W4" s="110" t="s">
        <v>55</v>
      </c>
      <c r="X4" s="110" t="s">
        <v>56</v>
      </c>
      <c r="Y4" s="110" t="s">
        <v>57</v>
      </c>
      <c r="Z4" s="110" t="s">
        <v>58</v>
      </c>
      <c r="AA4" s="110" t="s">
        <v>59</v>
      </c>
      <c r="AB4" s="110" t="s">
        <v>16</v>
      </c>
      <c r="AC4" s="110" t="s">
        <v>60</v>
      </c>
      <c r="AD4" s="110" t="s">
        <v>61</v>
      </c>
      <c r="AE4" s="111" t="s">
        <v>62</v>
      </c>
      <c r="AF4" s="108" t="s">
        <v>18</v>
      </c>
    </row>
    <row r="5" spans="1:32" s="1" customFormat="1" ht="12.5" x14ac:dyDescent="0.25">
      <c r="A5" s="126">
        <v>42035</v>
      </c>
      <c r="B5" s="112">
        <v>90.75</v>
      </c>
      <c r="C5" s="112">
        <v>198.3</v>
      </c>
      <c r="D5" s="113">
        <v>1.8</v>
      </c>
      <c r="E5" s="114">
        <v>57.86</v>
      </c>
      <c r="F5" s="112">
        <v>146.4</v>
      </c>
      <c r="G5" s="112">
        <v>83.84</v>
      </c>
      <c r="H5" s="114">
        <v>28.77</v>
      </c>
      <c r="I5" s="114">
        <v>80.48</v>
      </c>
      <c r="J5" s="114">
        <v>9.98</v>
      </c>
      <c r="K5" s="114">
        <v>103.4</v>
      </c>
      <c r="L5" s="115">
        <v>28.57</v>
      </c>
      <c r="M5" s="112">
        <v>61.19</v>
      </c>
      <c r="N5" s="114">
        <v>74.459999999999994</v>
      </c>
      <c r="O5" s="115">
        <v>3.18</v>
      </c>
      <c r="P5" s="115">
        <v>14.39</v>
      </c>
      <c r="Q5" s="112">
        <v>29.31</v>
      </c>
      <c r="R5" s="112">
        <v>88.71</v>
      </c>
      <c r="S5" s="114">
        <v>68.03</v>
      </c>
      <c r="T5" s="114">
        <v>23.46</v>
      </c>
      <c r="U5" s="112">
        <v>81.13</v>
      </c>
      <c r="V5" s="114">
        <v>22.74</v>
      </c>
      <c r="W5" s="116">
        <v>65.64</v>
      </c>
      <c r="X5" s="114">
        <v>12.04</v>
      </c>
      <c r="Y5" s="114">
        <v>79.5</v>
      </c>
      <c r="Z5" s="112">
        <v>200.7</v>
      </c>
      <c r="AA5" s="114">
        <v>8.6</v>
      </c>
      <c r="AB5" s="112">
        <v>16.88</v>
      </c>
      <c r="AC5" s="112">
        <v>177.8</v>
      </c>
      <c r="AD5" s="114">
        <v>23.09</v>
      </c>
      <c r="AE5" s="117">
        <v>27.01</v>
      </c>
      <c r="AF5" s="118">
        <v>10694.32</v>
      </c>
    </row>
    <row r="6" spans="1:32" s="1" customFormat="1" ht="12.5" x14ac:dyDescent="0.25">
      <c r="A6" s="126">
        <v>42036</v>
      </c>
      <c r="B6" s="112">
        <v>94.01</v>
      </c>
      <c r="C6" s="112">
        <v>225.5</v>
      </c>
      <c r="D6" s="113">
        <v>1.97</v>
      </c>
      <c r="E6" s="114">
        <v>62.84</v>
      </c>
      <c r="F6" s="112">
        <v>149.6</v>
      </c>
      <c r="G6" s="112">
        <v>89.98</v>
      </c>
      <c r="H6" s="114">
        <v>30.43</v>
      </c>
      <c r="I6" s="114">
        <v>86.51</v>
      </c>
      <c r="J6" s="114">
        <v>10.35</v>
      </c>
      <c r="K6" s="114">
        <v>113</v>
      </c>
      <c r="L6" s="115">
        <v>32.54</v>
      </c>
      <c r="M6" s="112">
        <v>69.430000000000007</v>
      </c>
      <c r="N6" s="114">
        <v>82.75</v>
      </c>
      <c r="O6" s="115">
        <v>3.31</v>
      </c>
      <c r="P6" s="115">
        <v>14.09</v>
      </c>
      <c r="Q6" s="112">
        <v>32.799999999999997</v>
      </c>
      <c r="R6" s="112">
        <v>92.2</v>
      </c>
      <c r="S6" s="114">
        <v>72.900000000000006</v>
      </c>
      <c r="T6" s="114">
        <v>23.82</v>
      </c>
      <c r="U6" s="112">
        <v>84.98</v>
      </c>
      <c r="V6" s="114">
        <v>24.31</v>
      </c>
      <c r="W6" s="116">
        <v>73.17</v>
      </c>
      <c r="X6" s="114">
        <v>12.67</v>
      </c>
      <c r="Y6" s="114">
        <v>85.65</v>
      </c>
      <c r="Z6" s="112">
        <v>213.3</v>
      </c>
      <c r="AA6" s="114">
        <v>9.42</v>
      </c>
      <c r="AB6" s="112">
        <v>17.27</v>
      </c>
      <c r="AC6" s="112">
        <v>185.35</v>
      </c>
      <c r="AD6" s="114">
        <v>23.79</v>
      </c>
      <c r="AE6" s="117">
        <v>28.69</v>
      </c>
      <c r="AF6" s="118">
        <v>11401.66</v>
      </c>
    </row>
    <row r="7" spans="1:32" s="1" customFormat="1" ht="12.5" x14ac:dyDescent="0.25">
      <c r="A7" s="126">
        <v>42064</v>
      </c>
      <c r="B7" s="112">
        <v>96.18</v>
      </c>
      <c r="C7" s="112">
        <v>247.85</v>
      </c>
      <c r="D7" s="113">
        <v>1.94</v>
      </c>
      <c r="E7" s="114">
        <v>67.53</v>
      </c>
      <c r="F7" s="112">
        <v>161.85</v>
      </c>
      <c r="G7" s="112">
        <v>90.78</v>
      </c>
      <c r="H7" s="114">
        <v>29.1</v>
      </c>
      <c r="I7" s="114">
        <v>89.73</v>
      </c>
      <c r="J7" s="114">
        <v>11.13</v>
      </c>
      <c r="K7" s="114">
        <v>116.45</v>
      </c>
      <c r="L7" s="115">
        <v>32.549999999999997</v>
      </c>
      <c r="M7" s="112">
        <v>73.69</v>
      </c>
      <c r="N7" s="114">
        <v>91.47</v>
      </c>
      <c r="O7" s="115">
        <v>3.33</v>
      </c>
      <c r="P7" s="115">
        <v>14.17</v>
      </c>
      <c r="Q7" s="112">
        <v>29.88</v>
      </c>
      <c r="R7" s="112">
        <v>104.55</v>
      </c>
      <c r="S7" s="114">
        <v>76.06</v>
      </c>
      <c r="T7" s="114">
        <v>22.67</v>
      </c>
      <c r="U7" s="112">
        <v>91.32</v>
      </c>
      <c r="V7" s="114">
        <v>23.53</v>
      </c>
      <c r="W7" s="116">
        <v>77.459999999999994</v>
      </c>
      <c r="X7" s="114">
        <v>12.18</v>
      </c>
      <c r="Y7" s="114">
        <v>92.55</v>
      </c>
      <c r="Z7" s="112">
        <v>220.3</v>
      </c>
      <c r="AA7" s="114">
        <v>9.94</v>
      </c>
      <c r="AB7" s="112">
        <v>17.27</v>
      </c>
      <c r="AC7" s="112">
        <v>201.1</v>
      </c>
      <c r="AD7" s="114">
        <v>24.44</v>
      </c>
      <c r="AE7" s="117">
        <v>29.21</v>
      </c>
      <c r="AF7" s="118">
        <v>11966.17</v>
      </c>
    </row>
    <row r="8" spans="1:32" s="1" customFormat="1" ht="12.5" x14ac:dyDescent="0.25">
      <c r="A8" s="126">
        <v>42095</v>
      </c>
      <c r="B8" s="112">
        <v>90.59</v>
      </c>
      <c r="C8" s="112">
        <v>231.45</v>
      </c>
      <c r="D8" s="113">
        <v>2.19</v>
      </c>
      <c r="E8" s="114">
        <v>67.930000000000007</v>
      </c>
      <c r="F8" s="112">
        <v>152.6</v>
      </c>
      <c r="G8" s="112">
        <v>87.9</v>
      </c>
      <c r="H8" s="114">
        <v>29.56</v>
      </c>
      <c r="I8" s="114">
        <v>86.33</v>
      </c>
      <c r="J8" s="114">
        <v>10.58</v>
      </c>
      <c r="K8" s="114">
        <v>106.1</v>
      </c>
      <c r="L8" s="115">
        <v>37.549999999999997</v>
      </c>
      <c r="M8" s="112">
        <v>73.42</v>
      </c>
      <c r="N8" s="114">
        <v>85.3</v>
      </c>
      <c r="O8" s="115">
        <v>3.35</v>
      </c>
      <c r="P8" s="115">
        <v>13.72</v>
      </c>
      <c r="Q8" s="112">
        <v>28.61</v>
      </c>
      <c r="R8" s="112">
        <v>96.79</v>
      </c>
      <c r="S8" s="114">
        <v>74.31</v>
      </c>
      <c r="T8" s="114">
        <v>21.25</v>
      </c>
      <c r="U8" s="112">
        <v>88.07</v>
      </c>
      <c r="V8" s="114">
        <v>23.15</v>
      </c>
      <c r="W8" s="116">
        <v>75.23</v>
      </c>
      <c r="X8" s="114">
        <v>12.25</v>
      </c>
      <c r="Y8" s="114">
        <v>89.48</v>
      </c>
      <c r="Z8" s="112">
        <v>210.65</v>
      </c>
      <c r="AA8" s="114">
        <v>10.18</v>
      </c>
      <c r="AB8" s="112">
        <v>18.18</v>
      </c>
      <c r="AC8" s="112">
        <v>176.53</v>
      </c>
      <c r="AD8" s="114">
        <v>23.86</v>
      </c>
      <c r="AE8" s="117">
        <v>28.46</v>
      </c>
      <c r="AF8" s="118">
        <v>11454.38</v>
      </c>
    </row>
    <row r="9" spans="1:32" s="1" customFormat="1" ht="12.5" x14ac:dyDescent="0.25">
      <c r="A9" s="126">
        <v>42125</v>
      </c>
      <c r="B9" s="112">
        <v>93.35</v>
      </c>
      <c r="C9" s="112">
        <v>221</v>
      </c>
      <c r="D9" s="113">
        <v>3.16</v>
      </c>
      <c r="E9" s="114">
        <v>67.39</v>
      </c>
      <c r="F9" s="112">
        <v>142.75</v>
      </c>
      <c r="G9" s="112">
        <v>86.34</v>
      </c>
      <c r="H9" s="114">
        <v>27.45</v>
      </c>
      <c r="I9" s="114">
        <v>85.28</v>
      </c>
      <c r="J9" s="114">
        <v>11.87</v>
      </c>
      <c r="K9" s="114">
        <v>100.7</v>
      </c>
      <c r="L9" s="115">
        <v>40.43</v>
      </c>
      <c r="M9" s="112">
        <v>71.53</v>
      </c>
      <c r="N9" s="114">
        <v>80.42</v>
      </c>
      <c r="O9" s="115">
        <v>3.66</v>
      </c>
      <c r="P9" s="115">
        <v>12.8</v>
      </c>
      <c r="Q9" s="112">
        <v>27.39</v>
      </c>
      <c r="R9" s="112">
        <v>97.37</v>
      </c>
      <c r="S9" s="114">
        <v>72.930000000000007</v>
      </c>
      <c r="T9" s="114">
        <v>20.27</v>
      </c>
      <c r="U9" s="112">
        <v>86.86</v>
      </c>
      <c r="V9" s="114">
        <v>22.18</v>
      </c>
      <c r="W9" s="116">
        <v>77.78</v>
      </c>
      <c r="X9" s="114">
        <v>11.73</v>
      </c>
      <c r="Y9" s="114">
        <v>84.2</v>
      </c>
      <c r="Z9" s="112">
        <v>210.25</v>
      </c>
      <c r="AA9" s="114">
        <v>9.94</v>
      </c>
      <c r="AB9" s="112">
        <v>14.58</v>
      </c>
      <c r="AC9" s="112">
        <v>171.1</v>
      </c>
      <c r="AD9" s="114">
        <v>24.12</v>
      </c>
      <c r="AE9" s="117">
        <v>27.34</v>
      </c>
      <c r="AF9" s="118">
        <v>11413.82</v>
      </c>
    </row>
    <row r="10" spans="1:32" s="1" customFormat="1" ht="12.5" x14ac:dyDescent="0.25">
      <c r="A10" s="126">
        <v>42156</v>
      </c>
      <c r="B10" s="112">
        <v>85.49</v>
      </c>
      <c r="C10" s="112">
        <v>208</v>
      </c>
      <c r="D10" s="113">
        <v>3.34</v>
      </c>
      <c r="E10" s="114">
        <v>62.6</v>
      </c>
      <c r="F10" s="112">
        <v>139.69999999999999</v>
      </c>
      <c r="G10" s="112">
        <v>81.45</v>
      </c>
      <c r="H10" s="114">
        <v>26.21</v>
      </c>
      <c r="I10" s="114">
        <v>81.64</v>
      </c>
      <c r="J10" s="114">
        <v>11.13</v>
      </c>
      <c r="K10" s="114">
        <v>98.18</v>
      </c>
      <c r="L10" s="115">
        <v>39.700000000000003</v>
      </c>
      <c r="M10" s="112">
        <v>68.650000000000006</v>
      </c>
      <c r="N10" s="114">
        <v>75.569999999999993</v>
      </c>
      <c r="O10" s="115">
        <v>3.92</v>
      </c>
      <c r="P10" s="115">
        <v>11.21</v>
      </c>
      <c r="Q10" s="112">
        <v>25.3</v>
      </c>
      <c r="R10" s="112">
        <v>89.38</v>
      </c>
      <c r="S10" s="114">
        <v>74.25</v>
      </c>
      <c r="T10" s="114">
        <v>18.38</v>
      </c>
      <c r="U10" s="112">
        <v>84.37</v>
      </c>
      <c r="V10" s="114">
        <v>20.56</v>
      </c>
      <c r="W10" s="116">
        <v>74.040000000000006</v>
      </c>
      <c r="X10" s="114">
        <v>10.48</v>
      </c>
      <c r="Y10" s="114">
        <v>78.819999999999993</v>
      </c>
      <c r="Z10" s="112">
        <v>212.25</v>
      </c>
      <c r="AA10" s="114">
        <v>8.9</v>
      </c>
      <c r="AB10" s="112">
        <v>14.24</v>
      </c>
      <c r="AC10" s="112">
        <v>159.35</v>
      </c>
      <c r="AD10" s="114">
        <v>23.34</v>
      </c>
      <c r="AE10" s="117">
        <v>27.54</v>
      </c>
      <c r="AF10" s="118">
        <v>10944.97</v>
      </c>
    </row>
    <row r="11" spans="1:32" s="1" customFormat="1" ht="12.5" x14ac:dyDescent="0.25">
      <c r="A11" s="126">
        <v>42186</v>
      </c>
      <c r="B11" s="112">
        <v>91.93</v>
      </c>
      <c r="C11" s="112">
        <v>182.4</v>
      </c>
      <c r="D11" s="113">
        <v>4.3899999999999997</v>
      </c>
      <c r="E11" s="114">
        <v>65.260000000000005</v>
      </c>
      <c r="F11" s="112">
        <v>149.1</v>
      </c>
      <c r="G11" s="112">
        <v>87.84</v>
      </c>
      <c r="H11" s="114">
        <v>27.52</v>
      </c>
      <c r="I11" s="114">
        <v>81.39</v>
      </c>
      <c r="J11" s="114">
        <v>10.210000000000001</v>
      </c>
      <c r="K11" s="114">
        <v>91.3</v>
      </c>
      <c r="L11" s="115">
        <v>47.33</v>
      </c>
      <c r="M11" s="112">
        <v>74.47</v>
      </c>
      <c r="N11" s="114">
        <v>68.489999999999995</v>
      </c>
      <c r="O11" s="115">
        <v>3.71</v>
      </c>
      <c r="P11" s="115">
        <v>11.8</v>
      </c>
      <c r="Q11" s="112">
        <v>28.4</v>
      </c>
      <c r="R11" s="112">
        <v>92.62</v>
      </c>
      <c r="S11" s="114">
        <v>82.63</v>
      </c>
      <c r="T11" s="114">
        <v>18.059999999999999</v>
      </c>
      <c r="U11" s="112">
        <v>83.68</v>
      </c>
      <c r="V11" s="114">
        <v>22.51</v>
      </c>
      <c r="W11" s="116">
        <v>74.33</v>
      </c>
      <c r="X11" s="114">
        <v>10.54</v>
      </c>
      <c r="Y11" s="114">
        <v>78.55</v>
      </c>
      <c r="Z11" s="112">
        <v>203.55</v>
      </c>
      <c r="AA11" s="114">
        <v>9.0500000000000007</v>
      </c>
      <c r="AB11" s="112">
        <v>17.27</v>
      </c>
      <c r="AC11" s="112">
        <v>167.22</v>
      </c>
      <c r="AD11" s="114">
        <v>23.09</v>
      </c>
      <c r="AE11" s="117">
        <v>29.11</v>
      </c>
      <c r="AF11" s="118">
        <v>11308.99</v>
      </c>
    </row>
    <row r="12" spans="1:32" s="1" customFormat="1" ht="12.5" x14ac:dyDescent="0.25">
      <c r="A12" s="126">
        <v>42217</v>
      </c>
      <c r="B12" s="112">
        <v>81.819999999999993</v>
      </c>
      <c r="C12" s="112">
        <v>169.5</v>
      </c>
      <c r="D12" s="113">
        <v>4.1900000000000004</v>
      </c>
      <c r="E12" s="114">
        <v>59.99</v>
      </c>
      <c r="F12" s="112">
        <v>142.25</v>
      </c>
      <c r="G12" s="112">
        <v>79.739999999999995</v>
      </c>
      <c r="H12" s="114">
        <v>24.56</v>
      </c>
      <c r="I12" s="114">
        <v>71.66</v>
      </c>
      <c r="J12" s="114">
        <v>9.75</v>
      </c>
      <c r="K12" s="114">
        <v>82.22</v>
      </c>
      <c r="L12" s="115">
        <v>46.41</v>
      </c>
      <c r="M12" s="112">
        <v>66.72</v>
      </c>
      <c r="N12" s="114">
        <v>62.11</v>
      </c>
      <c r="O12" s="115">
        <v>3.94</v>
      </c>
      <c r="P12" s="115">
        <v>9.2799999999999994</v>
      </c>
      <c r="Q12" s="112">
        <v>29.18</v>
      </c>
      <c r="R12" s="112">
        <v>85.27</v>
      </c>
      <c r="S12" s="114">
        <v>79.790000000000006</v>
      </c>
      <c r="T12" s="114">
        <v>12.77</v>
      </c>
      <c r="U12" s="112">
        <v>79.88</v>
      </c>
      <c r="V12" s="114">
        <v>23.44</v>
      </c>
      <c r="W12" s="116">
        <v>68.209999999999994</v>
      </c>
      <c r="X12" s="114">
        <v>8.86</v>
      </c>
      <c r="Y12" s="114">
        <v>71.819999999999993</v>
      </c>
      <c r="Z12" s="112">
        <v>189.45</v>
      </c>
      <c r="AA12" s="114">
        <v>8.19</v>
      </c>
      <c r="AB12" s="112">
        <v>17.87</v>
      </c>
      <c r="AC12" s="112">
        <v>163.21</v>
      </c>
      <c r="AD12" s="114">
        <v>19.329999999999998</v>
      </c>
      <c r="AE12" s="117">
        <v>26.85</v>
      </c>
      <c r="AF12" s="118">
        <v>10259.459999999999</v>
      </c>
    </row>
    <row r="13" spans="1:32" s="1" customFormat="1" ht="12.5" x14ac:dyDescent="0.25">
      <c r="A13" s="126">
        <v>42248</v>
      </c>
      <c r="B13" s="112">
        <v>78.94</v>
      </c>
      <c r="C13" s="112">
        <v>97.75</v>
      </c>
      <c r="D13" s="113">
        <v>4.16</v>
      </c>
      <c r="E13" s="114">
        <v>57.95</v>
      </c>
      <c r="F13" s="112">
        <v>140.25</v>
      </c>
      <c r="G13" s="112">
        <v>72.06</v>
      </c>
      <c r="H13" s="114">
        <v>24.78</v>
      </c>
      <c r="I13" s="114">
        <v>64.849999999999994</v>
      </c>
      <c r="J13" s="114">
        <v>10.06</v>
      </c>
      <c r="K13" s="114">
        <v>79.22</v>
      </c>
      <c r="L13" s="115">
        <v>43</v>
      </c>
      <c r="M13" s="112">
        <v>72.010000000000005</v>
      </c>
      <c r="N13" s="114">
        <v>38.1</v>
      </c>
      <c r="O13" s="115">
        <v>3.94</v>
      </c>
      <c r="P13" s="115">
        <v>8.32</v>
      </c>
      <c r="Q13" s="112">
        <v>28.75</v>
      </c>
      <c r="R13" s="112">
        <v>79.09</v>
      </c>
      <c r="S13" s="114">
        <v>77.03</v>
      </c>
      <c r="T13" s="114">
        <v>9.68</v>
      </c>
      <c r="U13" s="112">
        <v>74.790000000000006</v>
      </c>
      <c r="V13" s="114">
        <v>23.89</v>
      </c>
      <c r="W13" s="116">
        <v>69.819999999999993</v>
      </c>
      <c r="X13" s="114">
        <v>6.73</v>
      </c>
      <c r="Y13" s="114">
        <v>68.319999999999993</v>
      </c>
      <c r="Z13" s="112">
        <v>190.1</v>
      </c>
      <c r="AA13" s="114">
        <v>7.77</v>
      </c>
      <c r="AB13" s="112">
        <v>18.5</v>
      </c>
      <c r="AC13" s="112">
        <v>166.65</v>
      </c>
      <c r="AD13" s="114">
        <v>15.68</v>
      </c>
      <c r="AE13" s="117">
        <v>26.76</v>
      </c>
      <c r="AF13" s="118">
        <v>9660.44</v>
      </c>
    </row>
    <row r="14" spans="1:32" s="1" customFormat="1" ht="12.5" x14ac:dyDescent="0.25">
      <c r="A14" s="126">
        <v>42278</v>
      </c>
      <c r="B14" s="112">
        <v>84.01</v>
      </c>
      <c r="C14" s="112">
        <v>109.3</v>
      </c>
      <c r="D14" s="113">
        <v>5.38</v>
      </c>
      <c r="E14" s="114">
        <v>71.88</v>
      </c>
      <c r="F14" s="112">
        <v>159.35</v>
      </c>
      <c r="G14" s="112">
        <v>82.48</v>
      </c>
      <c r="H14" s="114">
        <v>27.07</v>
      </c>
      <c r="I14" s="114">
        <v>78.97</v>
      </c>
      <c r="J14" s="114">
        <v>11.2</v>
      </c>
      <c r="K14" s="114">
        <v>93.36</v>
      </c>
      <c r="L14" s="115">
        <v>53.02</v>
      </c>
      <c r="M14" s="112">
        <v>81.55</v>
      </c>
      <c r="N14" s="114">
        <v>42.6</v>
      </c>
      <c r="O14" s="115">
        <v>4.83</v>
      </c>
      <c r="P14" s="115">
        <v>12</v>
      </c>
      <c r="Q14" s="112">
        <v>30.34</v>
      </c>
      <c r="R14" s="112">
        <v>88.83</v>
      </c>
      <c r="S14" s="114">
        <v>83.75</v>
      </c>
      <c r="T14" s="114">
        <v>12.06</v>
      </c>
      <c r="U14" s="112">
        <v>84.17</v>
      </c>
      <c r="V14" s="114">
        <v>25.66</v>
      </c>
      <c r="W14" s="116">
        <v>81.89</v>
      </c>
      <c r="X14" s="114">
        <v>8.42</v>
      </c>
      <c r="Y14" s="114">
        <v>74.53</v>
      </c>
      <c r="Z14" s="112">
        <v>218.7</v>
      </c>
      <c r="AA14" s="114">
        <v>8.82</v>
      </c>
      <c r="AB14" s="112">
        <v>20.36</v>
      </c>
      <c r="AC14" s="112">
        <v>182.19</v>
      </c>
      <c r="AD14" s="114">
        <v>18.350000000000001</v>
      </c>
      <c r="AE14" s="117">
        <v>29.17</v>
      </c>
      <c r="AF14" s="118">
        <v>10850.14</v>
      </c>
    </row>
    <row r="15" spans="1:32" s="1" customFormat="1" ht="12.5" x14ac:dyDescent="0.25">
      <c r="A15" s="126">
        <v>42309</v>
      </c>
      <c r="B15" s="112">
        <v>90.85</v>
      </c>
      <c r="C15" s="112">
        <v>131.55000000000001</v>
      </c>
      <c r="D15" s="113">
        <v>5.4</v>
      </c>
      <c r="E15" s="114">
        <v>74.59</v>
      </c>
      <c r="F15" s="112">
        <v>167.65</v>
      </c>
      <c r="G15" s="112">
        <v>88.47</v>
      </c>
      <c r="H15" s="114">
        <v>27.67</v>
      </c>
      <c r="I15" s="114">
        <v>84.73</v>
      </c>
      <c r="J15" s="114">
        <v>14.03</v>
      </c>
      <c r="K15" s="114">
        <v>103.3</v>
      </c>
      <c r="L15" s="115">
        <v>56.42</v>
      </c>
      <c r="M15" s="112">
        <v>91.59</v>
      </c>
      <c r="N15" s="114">
        <v>49.68</v>
      </c>
      <c r="O15" s="115">
        <v>4.58</v>
      </c>
      <c r="P15" s="115">
        <v>11.79</v>
      </c>
      <c r="Q15" s="112">
        <v>29.33</v>
      </c>
      <c r="R15" s="112">
        <v>96.94</v>
      </c>
      <c r="S15" s="114">
        <v>81.19</v>
      </c>
      <c r="T15" s="114">
        <v>10.38</v>
      </c>
      <c r="U15" s="112">
        <v>93.99</v>
      </c>
      <c r="V15" s="114">
        <v>26.05</v>
      </c>
      <c r="W15" s="116">
        <v>78.2</v>
      </c>
      <c r="X15" s="114">
        <v>7.89</v>
      </c>
      <c r="Y15" s="114">
        <v>78.34</v>
      </c>
      <c r="Z15" s="112">
        <v>228.7</v>
      </c>
      <c r="AA15" s="114">
        <v>9.93</v>
      </c>
      <c r="AB15" s="112">
        <v>20.18</v>
      </c>
      <c r="AC15" s="112">
        <v>190.55</v>
      </c>
      <c r="AD15" s="114">
        <v>20.149999999999999</v>
      </c>
      <c r="AE15" s="117">
        <v>29.36</v>
      </c>
      <c r="AF15" s="118">
        <v>11382.23</v>
      </c>
    </row>
    <row r="16" spans="1:32" s="1" customFormat="1" ht="12.5" x14ac:dyDescent="0.25">
      <c r="A16" s="126">
        <v>42339</v>
      </c>
      <c r="B16" s="112">
        <v>88.62</v>
      </c>
      <c r="C16" s="112">
        <v>133.75</v>
      </c>
      <c r="D16" s="113">
        <v>6</v>
      </c>
      <c r="E16" s="114">
        <v>73.38</v>
      </c>
      <c r="F16" s="112">
        <v>163.55000000000001</v>
      </c>
      <c r="G16" s="112">
        <v>81.02</v>
      </c>
      <c r="H16" s="114">
        <v>25.96</v>
      </c>
      <c r="I16" s="114">
        <v>77.58</v>
      </c>
      <c r="J16" s="114">
        <v>13.51</v>
      </c>
      <c r="K16" s="114">
        <v>97.63</v>
      </c>
      <c r="L16" s="115">
        <v>57.72</v>
      </c>
      <c r="M16" s="112">
        <v>89.91</v>
      </c>
      <c r="N16" s="114">
        <v>50.01</v>
      </c>
      <c r="O16" s="115">
        <v>5.26</v>
      </c>
      <c r="P16" s="115">
        <v>10.199999999999999</v>
      </c>
      <c r="Q16" s="112">
        <v>28.55</v>
      </c>
      <c r="R16" s="112">
        <v>89.57</v>
      </c>
      <c r="S16" s="114">
        <v>81.39</v>
      </c>
      <c r="T16" s="114">
        <v>11.16</v>
      </c>
      <c r="U16" s="112">
        <v>90.1</v>
      </c>
      <c r="V16" s="114">
        <v>25.62</v>
      </c>
      <c r="W16" s="116">
        <v>77.73</v>
      </c>
      <c r="X16" s="114">
        <v>7.83</v>
      </c>
      <c r="Y16" s="114">
        <v>70.72</v>
      </c>
      <c r="Z16" s="112">
        <v>224.55</v>
      </c>
      <c r="AA16" s="114">
        <v>9.3000000000000007</v>
      </c>
      <c r="AB16" s="112">
        <v>19.86</v>
      </c>
      <c r="AC16" s="112">
        <v>185.82</v>
      </c>
      <c r="AD16" s="114">
        <v>18.34</v>
      </c>
      <c r="AE16" s="117">
        <v>28.55</v>
      </c>
      <c r="AF16" s="118">
        <v>10743.01</v>
      </c>
    </row>
    <row r="17" spans="1:32" s="1" customFormat="1" ht="12.5" x14ac:dyDescent="0.25">
      <c r="A17" s="126">
        <v>42370</v>
      </c>
      <c r="B17" s="112">
        <v>84.85</v>
      </c>
      <c r="C17" s="112">
        <v>106.9</v>
      </c>
      <c r="D17" s="113">
        <v>5.86</v>
      </c>
      <c r="E17" s="114">
        <v>73.19</v>
      </c>
      <c r="F17" s="112">
        <v>148.65</v>
      </c>
      <c r="G17" s="112">
        <v>79.489999999999995</v>
      </c>
      <c r="H17" s="114">
        <v>22.33</v>
      </c>
      <c r="I17" s="114">
        <v>64.16</v>
      </c>
      <c r="J17" s="114">
        <v>12.28</v>
      </c>
      <c r="K17" s="114">
        <v>76.66</v>
      </c>
      <c r="L17" s="115">
        <v>54.77</v>
      </c>
      <c r="M17" s="112">
        <v>94.98</v>
      </c>
      <c r="N17" s="114">
        <v>41.79</v>
      </c>
      <c r="O17" s="115">
        <v>4.72</v>
      </c>
      <c r="P17" s="115">
        <v>8.6999999999999993</v>
      </c>
      <c r="Q17" s="112">
        <v>28.01</v>
      </c>
      <c r="R17" s="112">
        <v>80.08</v>
      </c>
      <c r="S17" s="114">
        <v>78.61</v>
      </c>
      <c r="T17" s="114">
        <v>12.27</v>
      </c>
      <c r="U17" s="112">
        <v>84.54</v>
      </c>
      <c r="V17" s="114">
        <v>24.25</v>
      </c>
      <c r="W17" s="116">
        <v>81.67</v>
      </c>
      <c r="X17" s="114">
        <v>8.27</v>
      </c>
      <c r="Y17" s="114">
        <v>61.1</v>
      </c>
      <c r="Z17" s="112">
        <v>192.6</v>
      </c>
      <c r="AA17" s="114">
        <v>8.17</v>
      </c>
      <c r="AB17" s="112">
        <v>18.61</v>
      </c>
      <c r="AC17" s="112">
        <v>175.69</v>
      </c>
      <c r="AD17" s="114">
        <v>14.24</v>
      </c>
      <c r="AE17" s="117">
        <v>26.45</v>
      </c>
      <c r="AF17" s="118">
        <v>9798.11</v>
      </c>
    </row>
    <row r="18" spans="1:32" s="1" customFormat="1" ht="12.5" x14ac:dyDescent="0.25">
      <c r="A18" s="126">
        <v>42401</v>
      </c>
      <c r="B18" s="112">
        <v>81.55</v>
      </c>
      <c r="C18" s="112">
        <v>107.7</v>
      </c>
      <c r="D18" s="113">
        <v>6.83</v>
      </c>
      <c r="E18" s="114">
        <v>69.94</v>
      </c>
      <c r="F18" s="112">
        <v>137.25</v>
      </c>
      <c r="G18" s="112">
        <v>77.040000000000006</v>
      </c>
      <c r="H18" s="114">
        <v>21.94</v>
      </c>
      <c r="I18" s="114">
        <v>63.1</v>
      </c>
      <c r="J18" s="114">
        <v>11.27</v>
      </c>
      <c r="K18" s="114">
        <v>75.150000000000006</v>
      </c>
      <c r="L18" s="115">
        <v>62.89</v>
      </c>
      <c r="M18" s="112">
        <v>98.46</v>
      </c>
      <c r="N18" s="114">
        <v>42.18</v>
      </c>
      <c r="O18" s="115">
        <v>4.8</v>
      </c>
      <c r="P18" s="115">
        <v>9.1199999999999992</v>
      </c>
      <c r="Q18" s="112">
        <v>28.72</v>
      </c>
      <c r="R18" s="112">
        <v>78.41</v>
      </c>
      <c r="S18" s="114">
        <v>76.17</v>
      </c>
      <c r="T18" s="114">
        <v>10.050000000000001</v>
      </c>
      <c r="U18" s="112">
        <v>84.11</v>
      </c>
      <c r="V18" s="114">
        <v>24.38</v>
      </c>
      <c r="W18" s="116">
        <v>77.77</v>
      </c>
      <c r="X18" s="114">
        <v>7.36</v>
      </c>
      <c r="Y18" s="114">
        <v>60.18</v>
      </c>
      <c r="Z18" s="112">
        <v>184.6</v>
      </c>
      <c r="AA18" s="114">
        <v>7.14</v>
      </c>
      <c r="AB18" s="112">
        <v>19.739999999999998</v>
      </c>
      <c r="AC18" s="112">
        <v>180.02</v>
      </c>
      <c r="AD18" s="114">
        <v>15.62</v>
      </c>
      <c r="AE18" s="117">
        <v>26.23</v>
      </c>
      <c r="AF18" s="118">
        <v>9495.4</v>
      </c>
    </row>
    <row r="19" spans="1:32" s="1" customFormat="1" ht="12.5" x14ac:dyDescent="0.25">
      <c r="A19" s="126">
        <v>42430</v>
      </c>
      <c r="B19" s="112">
        <v>86.37</v>
      </c>
      <c r="C19" s="112">
        <v>111.85</v>
      </c>
      <c r="D19" s="113">
        <v>7.8</v>
      </c>
      <c r="E19" s="114">
        <v>71.099999999999994</v>
      </c>
      <c r="F19" s="112">
        <v>142.94999999999999</v>
      </c>
      <c r="G19" s="112">
        <v>83.97</v>
      </c>
      <c r="H19" s="114">
        <v>24.42</v>
      </c>
      <c r="I19" s="114">
        <v>67.37</v>
      </c>
      <c r="J19" s="114">
        <v>12.51</v>
      </c>
      <c r="K19" s="114">
        <v>80.7</v>
      </c>
      <c r="L19" s="115">
        <v>56.27</v>
      </c>
      <c r="M19" s="112">
        <v>103</v>
      </c>
      <c r="N19" s="114">
        <v>45.29</v>
      </c>
      <c r="O19" s="115">
        <v>5.14</v>
      </c>
      <c r="P19" s="115">
        <v>9.26</v>
      </c>
      <c r="Q19" s="112">
        <v>31.63</v>
      </c>
      <c r="R19" s="112">
        <v>73.31</v>
      </c>
      <c r="S19" s="114">
        <v>74.989999999999995</v>
      </c>
      <c r="T19" s="114">
        <v>10.84</v>
      </c>
      <c r="U19" s="112">
        <v>84.29</v>
      </c>
      <c r="V19" s="114">
        <v>27.33</v>
      </c>
      <c r="W19" s="116">
        <v>77.84</v>
      </c>
      <c r="X19" s="114">
        <v>7.4</v>
      </c>
      <c r="Y19" s="114">
        <v>66.3</v>
      </c>
      <c r="Z19" s="112">
        <v>200</v>
      </c>
      <c r="AA19" s="114">
        <v>8.57</v>
      </c>
      <c r="AB19" s="112">
        <v>19.41</v>
      </c>
      <c r="AC19" s="112">
        <v>178.44</v>
      </c>
      <c r="AD19" s="114">
        <v>18.260000000000002</v>
      </c>
      <c r="AE19" s="117">
        <v>30.01</v>
      </c>
      <c r="AF19" s="118">
        <v>9965.51</v>
      </c>
    </row>
    <row r="20" spans="1:32" s="1" customFormat="1" ht="12.5" x14ac:dyDescent="0.25">
      <c r="A20" s="126">
        <v>42461</v>
      </c>
      <c r="B20" s="112">
        <v>88.73</v>
      </c>
      <c r="C20" s="112">
        <v>126.45</v>
      </c>
      <c r="D20" s="113">
        <v>8.48</v>
      </c>
      <c r="E20" s="114">
        <v>68.319999999999993</v>
      </c>
      <c r="F20" s="112">
        <v>148.25</v>
      </c>
      <c r="G20" s="112">
        <v>82.14</v>
      </c>
      <c r="H20" s="114">
        <v>25.64</v>
      </c>
      <c r="I20" s="114">
        <v>60.69</v>
      </c>
      <c r="J20" s="114">
        <v>12.43</v>
      </c>
      <c r="K20" s="114">
        <v>80.5</v>
      </c>
      <c r="L20" s="115">
        <v>54.83</v>
      </c>
      <c r="M20" s="112">
        <v>112.6</v>
      </c>
      <c r="N20" s="114">
        <v>48.73</v>
      </c>
      <c r="O20" s="115">
        <v>4.9400000000000004</v>
      </c>
      <c r="P20" s="115">
        <v>9.6</v>
      </c>
      <c r="Q20" s="112">
        <v>29.39</v>
      </c>
      <c r="R20" s="112">
        <v>82.07</v>
      </c>
      <c r="S20" s="114">
        <v>71.69</v>
      </c>
      <c r="T20" s="114">
        <v>12.43</v>
      </c>
      <c r="U20" s="112">
        <v>82.42</v>
      </c>
      <c r="V20" s="114">
        <v>26.75</v>
      </c>
      <c r="W20" s="116">
        <v>75.75</v>
      </c>
      <c r="X20" s="114">
        <v>7.9</v>
      </c>
      <c r="Y20" s="114">
        <v>72.150000000000006</v>
      </c>
      <c r="Z20" s="112">
        <v>191.8</v>
      </c>
      <c r="AA20" s="114">
        <v>8.73</v>
      </c>
      <c r="AB20" s="112">
        <v>19.899999999999999</v>
      </c>
      <c r="AC20" s="112">
        <v>162.46</v>
      </c>
      <c r="AD20" s="114">
        <v>20.309999999999999</v>
      </c>
      <c r="AE20" s="117">
        <v>28.98</v>
      </c>
      <c r="AF20" s="118">
        <v>10038.969999999999</v>
      </c>
    </row>
    <row r="21" spans="1:32" s="1" customFormat="1" ht="12.5" x14ac:dyDescent="0.25">
      <c r="A21" s="126">
        <v>42491</v>
      </c>
      <c r="B21" s="112">
        <v>94.25</v>
      </c>
      <c r="C21" s="112">
        <v>134.35</v>
      </c>
      <c r="D21" s="113">
        <v>5.86</v>
      </c>
      <c r="E21" s="114">
        <v>72.959999999999994</v>
      </c>
      <c r="F21" s="112">
        <v>146.69999999999999</v>
      </c>
      <c r="G21" s="112">
        <v>87.25</v>
      </c>
      <c r="H21" s="114">
        <v>26.22</v>
      </c>
      <c r="I21" s="114">
        <v>61.39</v>
      </c>
      <c r="J21" s="114">
        <v>13.48</v>
      </c>
      <c r="K21" s="114">
        <v>75.89</v>
      </c>
      <c r="L21" s="115">
        <v>56.72</v>
      </c>
      <c r="M21" s="112">
        <v>115.15</v>
      </c>
      <c r="N21" s="114">
        <v>49.49</v>
      </c>
      <c r="O21" s="115">
        <v>4.55</v>
      </c>
      <c r="P21" s="115">
        <v>10.62</v>
      </c>
      <c r="Q21" s="112">
        <v>30.81</v>
      </c>
      <c r="R21" s="112">
        <v>89.95</v>
      </c>
      <c r="S21" s="114">
        <v>78.75</v>
      </c>
      <c r="T21" s="114">
        <v>11.21</v>
      </c>
      <c r="U21" s="112">
        <v>84.89</v>
      </c>
      <c r="V21" s="114">
        <v>28.87</v>
      </c>
      <c r="W21" s="116">
        <v>78</v>
      </c>
      <c r="X21" s="114">
        <v>7.75</v>
      </c>
      <c r="Y21" s="114">
        <v>69.430000000000007</v>
      </c>
      <c r="Z21" s="112">
        <v>192.8</v>
      </c>
      <c r="AA21" s="114">
        <v>9.2899999999999991</v>
      </c>
      <c r="AB21" s="112">
        <v>20.9</v>
      </c>
      <c r="AC21" s="112">
        <v>168.65</v>
      </c>
      <c r="AD21" s="114">
        <v>19.79</v>
      </c>
      <c r="AE21" s="117">
        <v>30.25</v>
      </c>
      <c r="AF21" s="118">
        <v>10262.74</v>
      </c>
    </row>
    <row r="22" spans="1:32" s="1" customFormat="1" ht="12.5" x14ac:dyDescent="0.25">
      <c r="A22" s="126">
        <v>42522</v>
      </c>
      <c r="B22" s="112">
        <v>96.87</v>
      </c>
      <c r="C22" s="112">
        <v>108.3</v>
      </c>
      <c r="D22" s="113">
        <v>5.3</v>
      </c>
      <c r="E22" s="114">
        <v>67.16</v>
      </c>
      <c r="F22" s="112">
        <v>127.8</v>
      </c>
      <c r="G22" s="112">
        <v>82.76</v>
      </c>
      <c r="H22" s="114">
        <v>25.18</v>
      </c>
      <c r="I22" s="114">
        <v>53.52</v>
      </c>
      <c r="J22" s="114">
        <v>12.98</v>
      </c>
      <c r="K22" s="114">
        <v>65.790000000000006</v>
      </c>
      <c r="L22" s="115">
        <v>61.47</v>
      </c>
      <c r="M22" s="112">
        <v>128.44999999999999</v>
      </c>
      <c r="N22" s="114">
        <v>41.34</v>
      </c>
      <c r="O22" s="115">
        <v>4.71</v>
      </c>
      <c r="P22" s="115">
        <v>10.6</v>
      </c>
      <c r="Q22" s="112">
        <v>32.75</v>
      </c>
      <c r="R22" s="112">
        <v>91.05</v>
      </c>
      <c r="S22" s="114">
        <v>73.540000000000006</v>
      </c>
      <c r="T22" s="114">
        <v>13.53</v>
      </c>
      <c r="U22" s="112">
        <v>83.79</v>
      </c>
      <c r="V22" s="114">
        <v>30.53</v>
      </c>
      <c r="W22" s="116">
        <v>78.03</v>
      </c>
      <c r="X22" s="114">
        <v>7.92</v>
      </c>
      <c r="Y22" s="114">
        <v>68.64</v>
      </c>
      <c r="Z22" s="112">
        <v>169.3</v>
      </c>
      <c r="AA22" s="114">
        <v>8.65</v>
      </c>
      <c r="AB22" s="112">
        <v>20.11</v>
      </c>
      <c r="AC22" s="112">
        <v>150.15</v>
      </c>
      <c r="AD22" s="114">
        <v>18.010000000000002</v>
      </c>
      <c r="AE22" s="117">
        <v>26.63</v>
      </c>
      <c r="AF22" s="118">
        <v>9680.09</v>
      </c>
    </row>
    <row r="23" spans="1:32" s="1" customFormat="1" ht="12.5" x14ac:dyDescent="0.25">
      <c r="A23" s="126">
        <v>42552</v>
      </c>
      <c r="B23" s="112">
        <v>97.1</v>
      </c>
      <c r="C23" s="112">
        <v>125.8</v>
      </c>
      <c r="D23" s="113">
        <v>5.0599999999999996</v>
      </c>
      <c r="E23" s="114">
        <v>78.41</v>
      </c>
      <c r="F23" s="112">
        <v>128.30000000000001</v>
      </c>
      <c r="G23" s="112">
        <v>87.55</v>
      </c>
      <c r="H23" s="114">
        <v>26.69</v>
      </c>
      <c r="I23" s="114">
        <v>60.82</v>
      </c>
      <c r="J23" s="114">
        <v>14.8</v>
      </c>
      <c r="K23" s="114">
        <v>77.05</v>
      </c>
      <c r="L23" s="115">
        <v>64.34</v>
      </c>
      <c r="M23" s="112">
        <v>146.75</v>
      </c>
      <c r="N23" s="114">
        <v>46.87</v>
      </c>
      <c r="O23" s="115">
        <v>5.14</v>
      </c>
      <c r="P23" s="115">
        <v>14.84</v>
      </c>
      <c r="Q23" s="112">
        <v>35.450000000000003</v>
      </c>
      <c r="R23" s="112">
        <v>98.76</v>
      </c>
      <c r="S23" s="114">
        <v>75.11</v>
      </c>
      <c r="T23" s="114">
        <v>15.16</v>
      </c>
      <c r="U23" s="112">
        <v>91.4</v>
      </c>
      <c r="V23" s="114">
        <v>33.479999999999997</v>
      </c>
      <c r="W23" s="116">
        <v>81.760000000000005</v>
      </c>
      <c r="X23" s="114">
        <v>8.41</v>
      </c>
      <c r="Y23" s="114">
        <v>70.260000000000005</v>
      </c>
      <c r="Z23" s="112">
        <v>187.5</v>
      </c>
      <c r="AA23" s="114">
        <v>9.06</v>
      </c>
      <c r="AB23" s="112">
        <v>22.29</v>
      </c>
      <c r="AC23" s="112">
        <v>149.27000000000001</v>
      </c>
      <c r="AD23" s="114">
        <v>20.5</v>
      </c>
      <c r="AE23" s="117">
        <v>26.92</v>
      </c>
      <c r="AF23" s="118">
        <v>10337.5</v>
      </c>
    </row>
    <row r="24" spans="1:32" s="1" customFormat="1" ht="12.5" x14ac:dyDescent="0.25">
      <c r="A24" s="126">
        <v>42583</v>
      </c>
      <c r="B24" s="112">
        <v>100.65</v>
      </c>
      <c r="C24" s="112">
        <v>124.5</v>
      </c>
      <c r="D24" s="113">
        <v>5.18</v>
      </c>
      <c r="E24" s="114">
        <v>78.760000000000005</v>
      </c>
      <c r="F24" s="112">
        <v>133.55000000000001</v>
      </c>
      <c r="G24" s="112">
        <v>96.5</v>
      </c>
      <c r="H24" s="114">
        <v>28.4</v>
      </c>
      <c r="I24" s="114">
        <v>62.08</v>
      </c>
      <c r="J24" s="114">
        <v>15.1</v>
      </c>
      <c r="K24" s="114">
        <v>78.010000000000005</v>
      </c>
      <c r="L24" s="115">
        <v>62.57</v>
      </c>
      <c r="M24" s="112">
        <v>148.94999999999999</v>
      </c>
      <c r="N24" s="114">
        <v>45.43</v>
      </c>
      <c r="O24" s="115">
        <v>5</v>
      </c>
      <c r="P24" s="115">
        <v>16.12</v>
      </c>
      <c r="Q24" s="112">
        <v>34.880000000000003</v>
      </c>
      <c r="R24" s="112">
        <v>94.34</v>
      </c>
      <c r="S24" s="114">
        <v>71.63</v>
      </c>
      <c r="T24" s="114">
        <v>13.98</v>
      </c>
      <c r="U24" s="112">
        <v>91.16</v>
      </c>
      <c r="V24" s="114">
        <v>33.700000000000003</v>
      </c>
      <c r="W24" s="116">
        <v>79.34</v>
      </c>
      <c r="X24" s="114">
        <v>7.24</v>
      </c>
      <c r="Y24" s="114">
        <v>72.900000000000006</v>
      </c>
      <c r="Z24" s="112">
        <v>187.9</v>
      </c>
      <c r="AA24" s="114">
        <v>8.3699999999999992</v>
      </c>
      <c r="AB24" s="112">
        <v>22.4</v>
      </c>
      <c r="AC24" s="112">
        <v>161.85</v>
      </c>
      <c r="AD24" s="114">
        <v>20.9</v>
      </c>
      <c r="AE24" s="117">
        <v>26.2</v>
      </c>
      <c r="AF24" s="118">
        <v>10592.69</v>
      </c>
    </row>
    <row r="25" spans="1:32" s="1" customFormat="1" ht="12.5" x14ac:dyDescent="0.25">
      <c r="A25" s="126">
        <v>42614</v>
      </c>
      <c r="B25" s="112">
        <v>103.6</v>
      </c>
      <c r="C25" s="112">
        <v>116.95</v>
      </c>
      <c r="D25" s="113">
        <v>5.65</v>
      </c>
      <c r="E25" s="114">
        <v>80.92</v>
      </c>
      <c r="F25" s="112">
        <v>132.1</v>
      </c>
      <c r="G25" s="112">
        <v>93.93</v>
      </c>
      <c r="H25" s="114">
        <v>27.82</v>
      </c>
      <c r="I25" s="114">
        <v>62.71</v>
      </c>
      <c r="J25" s="114">
        <v>15.88</v>
      </c>
      <c r="K25" s="114">
        <v>74.81</v>
      </c>
      <c r="L25" s="115">
        <v>65.31</v>
      </c>
      <c r="M25" s="112">
        <v>154.5</v>
      </c>
      <c r="N25" s="114">
        <v>45.44</v>
      </c>
      <c r="O25" s="115">
        <v>5.17</v>
      </c>
      <c r="P25" s="115">
        <v>16.420000000000002</v>
      </c>
      <c r="Q25" s="112">
        <v>33.71</v>
      </c>
      <c r="R25" s="112">
        <v>95.91</v>
      </c>
      <c r="S25" s="114">
        <v>69.47</v>
      </c>
      <c r="T25" s="114">
        <v>14.62</v>
      </c>
      <c r="U25" s="112">
        <v>90.05</v>
      </c>
      <c r="V25" s="114">
        <v>32.36</v>
      </c>
      <c r="W25" s="116">
        <v>77.760000000000005</v>
      </c>
      <c r="X25" s="114">
        <v>6.31</v>
      </c>
      <c r="Y25" s="114">
        <v>76.11</v>
      </c>
      <c r="Z25" s="112">
        <v>187.15</v>
      </c>
      <c r="AA25" s="114">
        <v>8.34</v>
      </c>
      <c r="AB25" s="112">
        <v>23.81</v>
      </c>
      <c r="AC25" s="112">
        <v>165.9</v>
      </c>
      <c r="AD25" s="114">
        <v>21.22</v>
      </c>
      <c r="AE25" s="117">
        <v>27.15</v>
      </c>
      <c r="AF25" s="118">
        <v>10511.02</v>
      </c>
    </row>
    <row r="26" spans="1:32" s="1" customFormat="1" ht="12.5" x14ac:dyDescent="0.25">
      <c r="A26" s="126">
        <v>42644</v>
      </c>
      <c r="B26" s="112">
        <v>100.3</v>
      </c>
      <c r="C26" s="112">
        <v>125.2</v>
      </c>
      <c r="D26" s="113">
        <v>6.77</v>
      </c>
      <c r="E26" s="114">
        <v>80.239999999999995</v>
      </c>
      <c r="F26" s="112">
        <v>142</v>
      </c>
      <c r="G26" s="112">
        <v>93.26</v>
      </c>
      <c r="H26" s="114">
        <v>28.23</v>
      </c>
      <c r="I26" s="114">
        <v>64.91</v>
      </c>
      <c r="J26" s="114">
        <v>16.36</v>
      </c>
      <c r="K26" s="114">
        <v>79.37</v>
      </c>
      <c r="L26" s="115">
        <v>61.32</v>
      </c>
      <c r="M26" s="112">
        <v>149.4</v>
      </c>
      <c r="N26" s="114">
        <v>49.13</v>
      </c>
      <c r="O26" s="115">
        <v>5.31</v>
      </c>
      <c r="P26" s="115">
        <v>17.440000000000001</v>
      </c>
      <c r="Q26" s="112">
        <v>32.08</v>
      </c>
      <c r="R26" s="112">
        <v>93.66</v>
      </c>
      <c r="S26" s="114">
        <v>68.069999999999993</v>
      </c>
      <c r="T26" s="114">
        <v>13.78</v>
      </c>
      <c r="U26" s="112">
        <v>95.08</v>
      </c>
      <c r="V26" s="114">
        <v>29.72</v>
      </c>
      <c r="W26" s="116">
        <v>74.209999999999994</v>
      </c>
      <c r="X26" s="114">
        <v>6.67</v>
      </c>
      <c r="Y26" s="114">
        <v>80.3</v>
      </c>
      <c r="Z26" s="112">
        <v>174.55</v>
      </c>
      <c r="AA26" s="114">
        <v>8.59</v>
      </c>
      <c r="AB26" s="112">
        <v>22.67</v>
      </c>
      <c r="AC26" s="112">
        <v>177.15</v>
      </c>
      <c r="AD26" s="114">
        <v>21.09</v>
      </c>
      <c r="AE26" s="117">
        <v>28.28</v>
      </c>
      <c r="AF26" s="118">
        <v>10665.01</v>
      </c>
    </row>
    <row r="27" spans="1:32" s="1" customFormat="1" ht="12.5" x14ac:dyDescent="0.25">
      <c r="A27" s="126">
        <v>42675</v>
      </c>
      <c r="B27" s="112">
        <v>96.07</v>
      </c>
      <c r="C27" s="112">
        <v>121.8</v>
      </c>
      <c r="D27" s="113">
        <v>6.99</v>
      </c>
      <c r="E27" s="114">
        <v>78.88</v>
      </c>
      <c r="F27" s="112">
        <v>149.80000000000001</v>
      </c>
      <c r="G27" s="112">
        <v>96.1</v>
      </c>
      <c r="H27" s="114">
        <v>29.49</v>
      </c>
      <c r="I27" s="114">
        <v>62.76</v>
      </c>
      <c r="J27" s="114">
        <v>15.78</v>
      </c>
      <c r="K27" s="114">
        <v>80.41</v>
      </c>
      <c r="L27" s="115">
        <v>59.4</v>
      </c>
      <c r="M27" s="112">
        <v>139</v>
      </c>
      <c r="N27" s="114">
        <v>47.83</v>
      </c>
      <c r="O27" s="115">
        <v>5.29</v>
      </c>
      <c r="P27" s="115">
        <v>19.72</v>
      </c>
      <c r="Q27" s="112">
        <v>30.43</v>
      </c>
      <c r="R27" s="112">
        <v>94.54</v>
      </c>
      <c r="S27" s="114">
        <v>73.11</v>
      </c>
      <c r="T27" s="114">
        <v>11.31</v>
      </c>
      <c r="U27" s="112">
        <v>99.17</v>
      </c>
      <c r="V27" s="114">
        <v>29.06</v>
      </c>
      <c r="W27" s="116">
        <v>73.599999999999994</v>
      </c>
      <c r="X27" s="114">
        <v>6.23</v>
      </c>
      <c r="Y27" s="114">
        <v>80.989999999999995</v>
      </c>
      <c r="Z27" s="112">
        <v>167.4</v>
      </c>
      <c r="AA27" s="114">
        <v>8.8699999999999992</v>
      </c>
      <c r="AB27" s="112">
        <v>23.2</v>
      </c>
      <c r="AC27" s="112">
        <v>172.05</v>
      </c>
      <c r="AD27" s="114">
        <v>21.42</v>
      </c>
      <c r="AE27" s="117">
        <v>29.97</v>
      </c>
      <c r="AF27" s="118">
        <v>10640.3</v>
      </c>
    </row>
    <row r="28" spans="1:32" s="1" customFormat="1" ht="12.5" x14ac:dyDescent="0.25">
      <c r="A28" s="126">
        <v>42705</v>
      </c>
      <c r="B28" s="112">
        <v>98.98</v>
      </c>
      <c r="C28" s="112">
        <v>133.35</v>
      </c>
      <c r="D28" s="113">
        <v>7.25</v>
      </c>
      <c r="E28" s="114">
        <v>82.81</v>
      </c>
      <c r="F28" s="112">
        <v>157</v>
      </c>
      <c r="G28" s="112">
        <v>105.29</v>
      </c>
      <c r="H28" s="114">
        <v>31.24</v>
      </c>
      <c r="I28" s="114">
        <v>70.72</v>
      </c>
      <c r="J28" s="114">
        <v>16.510000000000002</v>
      </c>
      <c r="K28" s="114">
        <v>88.75</v>
      </c>
      <c r="L28" s="115">
        <v>59.98</v>
      </c>
      <c r="M28" s="112">
        <v>150.15</v>
      </c>
      <c r="N28" s="114">
        <v>51.74</v>
      </c>
      <c r="O28" s="115">
        <v>5.45</v>
      </c>
      <c r="P28" s="115">
        <v>29.42</v>
      </c>
      <c r="Q28" s="112">
        <v>30.91</v>
      </c>
      <c r="R28" s="112">
        <v>99.15</v>
      </c>
      <c r="S28" s="114">
        <v>76.42</v>
      </c>
      <c r="T28" s="114">
        <v>11.26</v>
      </c>
      <c r="U28" s="112">
        <v>109.8</v>
      </c>
      <c r="V28" s="114">
        <v>29.84</v>
      </c>
      <c r="W28" s="116">
        <v>80.45</v>
      </c>
      <c r="X28" s="114">
        <v>6.7</v>
      </c>
      <c r="Y28" s="114">
        <v>88.31</v>
      </c>
      <c r="Z28" s="112">
        <v>183.7</v>
      </c>
      <c r="AA28" s="114">
        <v>9.94</v>
      </c>
      <c r="AB28" s="112">
        <v>24.97</v>
      </c>
      <c r="AC28" s="112">
        <v>179.1</v>
      </c>
      <c r="AD28" s="114">
        <v>22.64</v>
      </c>
      <c r="AE28" s="117">
        <v>31.77</v>
      </c>
      <c r="AF28" s="118">
        <v>11481.06</v>
      </c>
    </row>
    <row r="29" spans="1:32" s="1" customFormat="1" ht="12.5" x14ac:dyDescent="0.25">
      <c r="A29" s="126">
        <v>42736</v>
      </c>
      <c r="B29" s="112">
        <v>97.44</v>
      </c>
      <c r="C29" s="112">
        <v>143.9</v>
      </c>
      <c r="D29" s="113">
        <v>10.5</v>
      </c>
      <c r="E29" s="114">
        <v>84.63</v>
      </c>
      <c r="F29" s="112">
        <v>156.80000000000001</v>
      </c>
      <c r="G29" s="112">
        <v>104.79</v>
      </c>
      <c r="H29" s="114">
        <v>30.96</v>
      </c>
      <c r="I29" s="114">
        <v>69.349999999999994</v>
      </c>
      <c r="J29" s="114">
        <v>16.989999999999998</v>
      </c>
      <c r="K29" s="114">
        <v>84.17</v>
      </c>
      <c r="L29" s="115">
        <v>55.21</v>
      </c>
      <c r="M29" s="112">
        <v>145.65</v>
      </c>
      <c r="N29" s="114">
        <v>55.5</v>
      </c>
      <c r="O29" s="115">
        <v>6.71</v>
      </c>
      <c r="P29" s="115">
        <v>36.74</v>
      </c>
      <c r="Q29" s="112">
        <v>30.27</v>
      </c>
      <c r="R29" s="112">
        <v>101.65</v>
      </c>
      <c r="S29" s="114">
        <v>82.31</v>
      </c>
      <c r="T29" s="114">
        <v>11.68</v>
      </c>
      <c r="U29" s="112">
        <v>110.6</v>
      </c>
      <c r="V29" s="114">
        <v>30.14</v>
      </c>
      <c r="W29" s="116">
        <v>75.290000000000006</v>
      </c>
      <c r="X29" s="114">
        <v>7.1</v>
      </c>
      <c r="Y29" s="114">
        <v>89.12</v>
      </c>
      <c r="Z29" s="112">
        <v>180.7</v>
      </c>
      <c r="AA29" s="114">
        <v>9.9499999999999993</v>
      </c>
      <c r="AB29" s="112">
        <v>28.15</v>
      </c>
      <c r="AC29" s="112">
        <v>173.95</v>
      </c>
      <c r="AD29" s="114">
        <v>23.35</v>
      </c>
      <c r="AE29" s="117">
        <v>31.78</v>
      </c>
      <c r="AF29" s="118">
        <v>11535.31</v>
      </c>
    </row>
    <row r="30" spans="1:32" s="1" customFormat="1" ht="12.5" x14ac:dyDescent="0.25">
      <c r="A30" s="126">
        <v>42767</v>
      </c>
      <c r="B30" s="112">
        <v>101.75</v>
      </c>
      <c r="C30" s="112">
        <v>139.69999999999999</v>
      </c>
      <c r="D30" s="113">
        <v>13.07</v>
      </c>
      <c r="E30" s="114">
        <v>87.95</v>
      </c>
      <c r="F30" s="112">
        <v>164.2</v>
      </c>
      <c r="G30" s="112">
        <v>110.7</v>
      </c>
      <c r="H30" s="114">
        <v>32.380000000000003</v>
      </c>
      <c r="I30" s="114">
        <v>68.64</v>
      </c>
      <c r="J30" s="114">
        <v>16.8</v>
      </c>
      <c r="K30" s="114">
        <v>84.37</v>
      </c>
      <c r="L30" s="115">
        <v>60.02</v>
      </c>
      <c r="M30" s="112">
        <v>158.4</v>
      </c>
      <c r="N30" s="114">
        <v>52.15</v>
      </c>
      <c r="O30" s="115">
        <v>7.84</v>
      </c>
      <c r="P30" s="115">
        <v>39.25</v>
      </c>
      <c r="Q30" s="112">
        <v>32.89</v>
      </c>
      <c r="R30" s="112">
        <v>103.15</v>
      </c>
      <c r="S30" s="114">
        <v>80.19</v>
      </c>
      <c r="T30" s="114">
        <v>12.83</v>
      </c>
      <c r="U30" s="112">
        <v>119.8</v>
      </c>
      <c r="V30" s="114">
        <v>32.43</v>
      </c>
      <c r="W30" s="116">
        <v>78.55</v>
      </c>
      <c r="X30" s="114">
        <v>7.33</v>
      </c>
      <c r="Y30" s="114">
        <v>87.9</v>
      </c>
      <c r="Z30" s="112">
        <v>191.5</v>
      </c>
      <c r="AA30" s="114">
        <v>9.2100000000000009</v>
      </c>
      <c r="AB30" s="112">
        <v>29.37</v>
      </c>
      <c r="AC30" s="112">
        <v>178.35</v>
      </c>
      <c r="AD30" s="114">
        <v>23.6</v>
      </c>
      <c r="AE30" s="117">
        <v>33.729999999999997</v>
      </c>
      <c r="AF30" s="118">
        <v>11834.41</v>
      </c>
    </row>
    <row r="31" spans="1:32" s="1" customFormat="1" ht="12.5" x14ac:dyDescent="0.25">
      <c r="A31" s="126">
        <v>42795</v>
      </c>
      <c r="B31" s="112">
        <v>104.15</v>
      </c>
      <c r="C31" s="112">
        <v>136.6</v>
      </c>
      <c r="D31" s="113">
        <v>10.6</v>
      </c>
      <c r="E31" s="114">
        <v>91.98</v>
      </c>
      <c r="F31" s="112">
        <v>173.65</v>
      </c>
      <c r="G31" s="112">
        <v>115.75</v>
      </c>
      <c r="H31" s="114">
        <v>32.11</v>
      </c>
      <c r="I31" s="114">
        <v>69.2</v>
      </c>
      <c r="J31" s="114">
        <v>19.149999999999999</v>
      </c>
      <c r="K31" s="114">
        <v>85.51</v>
      </c>
      <c r="L31" s="115">
        <v>61.79</v>
      </c>
      <c r="M31" s="112">
        <v>178.3</v>
      </c>
      <c r="N31" s="114">
        <v>51.14</v>
      </c>
      <c r="O31" s="115">
        <v>9.1999999999999993</v>
      </c>
      <c r="P31" s="115">
        <v>39.520000000000003</v>
      </c>
      <c r="Q31" s="112">
        <v>33.03</v>
      </c>
      <c r="R31" s="112">
        <v>106.8</v>
      </c>
      <c r="S31" s="114">
        <v>86.18</v>
      </c>
      <c r="T31" s="114">
        <v>14.81</v>
      </c>
      <c r="U31" s="112">
        <v>121.95</v>
      </c>
      <c r="V31" s="114">
        <v>30.87</v>
      </c>
      <c r="W31" s="116">
        <v>79.05</v>
      </c>
      <c r="X31" s="114">
        <v>7.45</v>
      </c>
      <c r="Y31" s="114">
        <v>92.92</v>
      </c>
      <c r="Z31" s="112">
        <v>205.5</v>
      </c>
      <c r="AA31" s="114">
        <v>9.44</v>
      </c>
      <c r="AB31" s="112">
        <v>29.26</v>
      </c>
      <c r="AC31" s="112">
        <v>183.5</v>
      </c>
      <c r="AD31" s="114">
        <v>22.96</v>
      </c>
      <c r="AE31" s="117">
        <v>33.06</v>
      </c>
      <c r="AF31" s="118">
        <v>12312.87</v>
      </c>
    </row>
    <row r="32" spans="1:32" s="1" customFormat="1" ht="12.5" x14ac:dyDescent="0.25">
      <c r="A32" s="126">
        <v>42826</v>
      </c>
      <c r="B32" s="112">
        <v>107.15</v>
      </c>
      <c r="C32" s="112">
        <v>145.55000000000001</v>
      </c>
      <c r="D32" s="113">
        <v>9.07</v>
      </c>
      <c r="E32" s="114">
        <v>92.07</v>
      </c>
      <c r="F32" s="112">
        <v>174.8</v>
      </c>
      <c r="G32" s="112">
        <v>118.63</v>
      </c>
      <c r="H32" s="114">
        <v>33</v>
      </c>
      <c r="I32" s="114">
        <v>68.400000000000006</v>
      </c>
      <c r="J32" s="114">
        <v>19</v>
      </c>
      <c r="K32" s="114">
        <v>87.65</v>
      </c>
      <c r="L32" s="115">
        <v>60.38</v>
      </c>
      <c r="M32" s="112">
        <v>183.9</v>
      </c>
      <c r="N32" s="114">
        <v>53.71</v>
      </c>
      <c r="O32" s="115">
        <v>10.45</v>
      </c>
      <c r="P32" s="115">
        <v>39</v>
      </c>
      <c r="Q32" s="112">
        <v>33.24</v>
      </c>
      <c r="R32" s="112">
        <v>107.8</v>
      </c>
      <c r="S32" s="114">
        <v>89.85</v>
      </c>
      <c r="T32" s="114">
        <v>14.49</v>
      </c>
      <c r="U32" s="112">
        <v>131.65</v>
      </c>
      <c r="V32" s="114">
        <v>31.39</v>
      </c>
      <c r="W32" s="116">
        <v>81.45</v>
      </c>
      <c r="X32" s="114">
        <v>7.16</v>
      </c>
      <c r="Y32" s="114">
        <v>89.46</v>
      </c>
      <c r="Z32" s="112">
        <v>205.5</v>
      </c>
      <c r="AA32" s="114">
        <v>9.51</v>
      </c>
      <c r="AB32" s="112">
        <v>35.85</v>
      </c>
      <c r="AC32" s="112">
        <v>176.71</v>
      </c>
      <c r="AD32" s="114">
        <v>21.86</v>
      </c>
      <c r="AE32" s="117">
        <v>33.090000000000003</v>
      </c>
      <c r="AF32" s="118">
        <v>12438.01</v>
      </c>
    </row>
    <row r="33" spans="1:32" s="1" customFormat="1" ht="12.5" x14ac:dyDescent="0.25">
      <c r="A33" s="126">
        <v>42856</v>
      </c>
      <c r="B33" s="112">
        <v>110.55</v>
      </c>
      <c r="C33" s="112">
        <v>133.75</v>
      </c>
      <c r="D33" s="113">
        <v>9.65</v>
      </c>
      <c r="E33" s="114">
        <v>95.44</v>
      </c>
      <c r="F33" s="112">
        <v>170.9</v>
      </c>
      <c r="G33" s="112">
        <v>114.53</v>
      </c>
      <c r="H33" s="114">
        <v>32.520000000000003</v>
      </c>
      <c r="I33" s="114">
        <v>64.61</v>
      </c>
      <c r="J33" s="114">
        <v>19.690000000000001</v>
      </c>
      <c r="K33" s="114">
        <v>83.29</v>
      </c>
      <c r="L33" s="115">
        <v>69.400000000000006</v>
      </c>
      <c r="M33" s="112">
        <v>170.25</v>
      </c>
      <c r="N33" s="114">
        <v>50.95</v>
      </c>
      <c r="O33" s="115">
        <v>10.69</v>
      </c>
      <c r="P33" s="115">
        <v>49.6</v>
      </c>
      <c r="Q33" s="112">
        <v>34.97</v>
      </c>
      <c r="R33" s="112">
        <v>107.45</v>
      </c>
      <c r="S33" s="114">
        <v>92.48</v>
      </c>
      <c r="T33" s="114">
        <v>17.23</v>
      </c>
      <c r="U33" s="112">
        <v>125.6</v>
      </c>
      <c r="V33" s="114">
        <v>34.92</v>
      </c>
      <c r="W33" s="116">
        <v>85.16</v>
      </c>
      <c r="X33" s="114">
        <v>7.79</v>
      </c>
      <c r="Y33" s="114">
        <v>83.84</v>
      </c>
      <c r="Z33" s="112">
        <v>198</v>
      </c>
      <c r="AA33" s="114">
        <v>9.3800000000000008</v>
      </c>
      <c r="AB33" s="112">
        <v>35.130000000000003</v>
      </c>
      <c r="AC33" s="112">
        <v>175.65</v>
      </c>
      <c r="AD33" s="114">
        <v>23.61</v>
      </c>
      <c r="AE33" s="117">
        <v>32.96</v>
      </c>
      <c r="AF33" s="118">
        <v>12615.06</v>
      </c>
    </row>
    <row r="34" spans="1:32" s="1" customFormat="1" ht="12.5" x14ac:dyDescent="0.25">
      <c r="A34" s="126">
        <v>42887</v>
      </c>
      <c r="B34" s="112">
        <v>105.9</v>
      </c>
      <c r="C34" s="112">
        <v>133.35</v>
      </c>
      <c r="D34" s="113">
        <v>9.8699999999999992</v>
      </c>
      <c r="E34" s="114">
        <v>91.45</v>
      </c>
      <c r="F34" s="112">
        <v>172.4</v>
      </c>
      <c r="G34" s="112">
        <v>108.49</v>
      </c>
      <c r="H34" s="114">
        <v>32.82</v>
      </c>
      <c r="I34" s="114">
        <v>63.37</v>
      </c>
      <c r="J34" s="114">
        <v>18.489999999999998</v>
      </c>
      <c r="K34" s="114">
        <v>81.28</v>
      </c>
      <c r="L34" s="115">
        <v>67.010000000000005</v>
      </c>
      <c r="M34" s="112">
        <v>167.75</v>
      </c>
      <c r="N34" s="114">
        <v>49.19</v>
      </c>
      <c r="O34" s="115">
        <v>11.3</v>
      </c>
      <c r="P34" s="115">
        <v>54.48</v>
      </c>
      <c r="Q34" s="112">
        <v>34.76</v>
      </c>
      <c r="R34" s="112">
        <v>105.75</v>
      </c>
      <c r="S34" s="114">
        <v>92.42</v>
      </c>
      <c r="T34" s="114">
        <v>16.63</v>
      </c>
      <c r="U34" s="112">
        <v>123.5</v>
      </c>
      <c r="V34" s="114">
        <v>33.49</v>
      </c>
      <c r="W34" s="116">
        <v>84.17</v>
      </c>
      <c r="X34" s="114">
        <v>8.25</v>
      </c>
      <c r="Y34" s="114">
        <v>81.09</v>
      </c>
      <c r="Z34" s="112">
        <v>188.95</v>
      </c>
      <c r="AA34" s="114">
        <v>9.3000000000000007</v>
      </c>
      <c r="AB34" s="112">
        <v>33.65</v>
      </c>
      <c r="AC34" s="112">
        <v>177.32</v>
      </c>
      <c r="AD34" s="114">
        <v>24.88</v>
      </c>
      <c r="AE34" s="117">
        <v>32.700000000000003</v>
      </c>
      <c r="AF34" s="118">
        <v>12325.12</v>
      </c>
    </row>
    <row r="35" spans="1:32" s="1" customFormat="1" ht="12.5" x14ac:dyDescent="0.25">
      <c r="A35" s="126">
        <v>42917</v>
      </c>
      <c r="B35" s="112">
        <v>106.4</v>
      </c>
      <c r="C35" s="112">
        <v>130.1</v>
      </c>
      <c r="D35" s="113">
        <v>9.61</v>
      </c>
      <c r="E35" s="114">
        <v>89.68</v>
      </c>
      <c r="F35" s="112">
        <v>180</v>
      </c>
      <c r="G35" s="112">
        <v>103.44</v>
      </c>
      <c r="H35" s="114">
        <v>32.799999999999997</v>
      </c>
      <c r="I35" s="114">
        <v>59.29</v>
      </c>
      <c r="J35" s="114">
        <v>18.39</v>
      </c>
      <c r="K35" s="114">
        <v>77.709999999999994</v>
      </c>
      <c r="L35" s="115">
        <v>60.08</v>
      </c>
      <c r="M35" s="112">
        <v>193</v>
      </c>
      <c r="N35" s="114">
        <v>48.39</v>
      </c>
      <c r="O35" s="115">
        <v>10.29</v>
      </c>
      <c r="P35" s="115">
        <v>54.25</v>
      </c>
      <c r="Q35" s="112">
        <v>34.26</v>
      </c>
      <c r="R35" s="112">
        <v>92.85</v>
      </c>
      <c r="S35" s="114">
        <v>88.41</v>
      </c>
      <c r="T35" s="114">
        <v>16.98</v>
      </c>
      <c r="U35" s="112">
        <v>123.95</v>
      </c>
      <c r="V35" s="114">
        <v>33.49</v>
      </c>
      <c r="W35" s="116">
        <v>79.790000000000006</v>
      </c>
      <c r="X35" s="114">
        <v>8.36</v>
      </c>
      <c r="Y35" s="114">
        <v>80.59</v>
      </c>
      <c r="Z35" s="112">
        <v>190.5</v>
      </c>
      <c r="AA35" s="114">
        <v>9.5</v>
      </c>
      <c r="AB35" s="112">
        <v>33.9</v>
      </c>
      <c r="AC35" s="112">
        <v>181.13</v>
      </c>
      <c r="AD35" s="114">
        <v>25.09</v>
      </c>
      <c r="AE35" s="117">
        <v>34.869999999999997</v>
      </c>
      <c r="AF35" s="118">
        <v>12118.25</v>
      </c>
    </row>
    <row r="36" spans="1:32" s="1" customFormat="1" ht="12.5" x14ac:dyDescent="0.25">
      <c r="A36" s="126">
        <v>42948</v>
      </c>
      <c r="B36" s="112">
        <v>101.7</v>
      </c>
      <c r="C36" s="112">
        <v>125.35</v>
      </c>
      <c r="D36" s="113">
        <v>10.94</v>
      </c>
      <c r="E36" s="114">
        <v>88.1</v>
      </c>
      <c r="F36" s="112">
        <v>179.75</v>
      </c>
      <c r="G36" s="112">
        <v>98.98</v>
      </c>
      <c r="H36" s="114">
        <v>34.85</v>
      </c>
      <c r="I36" s="114">
        <v>61.23</v>
      </c>
      <c r="J36" s="114">
        <v>19.37</v>
      </c>
      <c r="K36" s="114">
        <v>78</v>
      </c>
      <c r="L36" s="115">
        <v>61.24</v>
      </c>
      <c r="M36" s="112">
        <v>188.55</v>
      </c>
      <c r="N36" s="114">
        <v>47.61</v>
      </c>
      <c r="O36" s="115">
        <v>10.24</v>
      </c>
      <c r="P36" s="115">
        <v>45.9</v>
      </c>
      <c r="Q36" s="112">
        <v>35.51</v>
      </c>
      <c r="R36" s="112">
        <v>92.26</v>
      </c>
      <c r="S36" s="114">
        <v>89.79</v>
      </c>
      <c r="T36" s="114">
        <v>19.97</v>
      </c>
      <c r="U36" s="112">
        <v>117.6</v>
      </c>
      <c r="V36" s="114">
        <v>35.68</v>
      </c>
      <c r="W36" s="116">
        <v>78.5</v>
      </c>
      <c r="X36" s="114">
        <v>9.5</v>
      </c>
      <c r="Y36" s="114">
        <v>81.37</v>
      </c>
      <c r="Z36" s="112">
        <v>189.55</v>
      </c>
      <c r="AA36" s="114">
        <v>9.1999999999999993</v>
      </c>
      <c r="AB36" s="112">
        <v>34.58</v>
      </c>
      <c r="AC36" s="112">
        <v>173.4</v>
      </c>
      <c r="AD36" s="114">
        <v>25.19</v>
      </c>
      <c r="AE36" s="117">
        <v>34.770000000000003</v>
      </c>
      <c r="AF36" s="118">
        <v>12055.84</v>
      </c>
    </row>
    <row r="37" spans="1:32" s="1" customFormat="1" ht="12.5" x14ac:dyDescent="0.25">
      <c r="A37" s="126">
        <v>42979</v>
      </c>
      <c r="B37" s="112">
        <v>102.95</v>
      </c>
      <c r="C37" s="112">
        <v>138</v>
      </c>
      <c r="D37" s="113">
        <v>8.26</v>
      </c>
      <c r="E37" s="114">
        <v>92.69</v>
      </c>
      <c r="F37" s="112">
        <v>189.95</v>
      </c>
      <c r="G37" s="112">
        <v>107.45</v>
      </c>
      <c r="H37" s="114">
        <v>37.67</v>
      </c>
      <c r="I37" s="114">
        <v>67.47</v>
      </c>
      <c r="J37" s="114">
        <v>21.27</v>
      </c>
      <c r="K37" s="114">
        <v>85.83</v>
      </c>
      <c r="L37" s="115">
        <v>59</v>
      </c>
      <c r="M37" s="112">
        <v>191.4</v>
      </c>
      <c r="N37" s="114">
        <v>54.1</v>
      </c>
      <c r="O37" s="115">
        <v>11.97</v>
      </c>
      <c r="P37" s="115">
        <v>55.12</v>
      </c>
      <c r="Q37" s="112">
        <v>36</v>
      </c>
      <c r="R37" s="112">
        <v>94.12</v>
      </c>
      <c r="S37" s="114">
        <v>91.71</v>
      </c>
      <c r="T37" s="114">
        <v>18.32</v>
      </c>
      <c r="U37" s="112">
        <v>134.94999999999999</v>
      </c>
      <c r="V37" s="114">
        <v>35.92</v>
      </c>
      <c r="W37" s="116">
        <v>82.77</v>
      </c>
      <c r="X37" s="114">
        <v>9.58</v>
      </c>
      <c r="Y37" s="114">
        <v>90.04</v>
      </c>
      <c r="Z37" s="112">
        <v>214.75</v>
      </c>
      <c r="AA37" s="114">
        <v>9.9600000000000009</v>
      </c>
      <c r="AB37" s="112">
        <v>32.93</v>
      </c>
      <c r="AC37" s="112">
        <v>180.9</v>
      </c>
      <c r="AD37" s="114">
        <v>25.08</v>
      </c>
      <c r="AE37" s="117">
        <v>34.21</v>
      </c>
      <c r="AF37" s="118">
        <v>12828.86</v>
      </c>
    </row>
    <row r="38" spans="1:32" s="1" customFormat="1" ht="12.5" x14ac:dyDescent="0.25">
      <c r="A38" s="126">
        <v>43009</v>
      </c>
      <c r="B38" s="112">
        <v>108.2</v>
      </c>
      <c r="C38" s="112">
        <v>155.9</v>
      </c>
      <c r="D38" s="113">
        <v>8.07</v>
      </c>
      <c r="E38" s="114">
        <v>97.66</v>
      </c>
      <c r="F38" s="112">
        <v>199.35</v>
      </c>
      <c r="G38" s="112">
        <v>110.43</v>
      </c>
      <c r="H38" s="114">
        <v>39.32</v>
      </c>
      <c r="I38" s="114">
        <v>71.290000000000006</v>
      </c>
      <c r="J38" s="114">
        <v>23.51</v>
      </c>
      <c r="K38" s="114">
        <v>87.5</v>
      </c>
      <c r="L38" s="115">
        <v>57.97</v>
      </c>
      <c r="M38" s="112">
        <v>191.05</v>
      </c>
      <c r="N38" s="114">
        <v>62.31</v>
      </c>
      <c r="O38" s="115">
        <v>10.57</v>
      </c>
      <c r="P38" s="115">
        <v>68.3</v>
      </c>
      <c r="Q38" s="112">
        <v>37.76</v>
      </c>
      <c r="R38" s="112">
        <v>91.89</v>
      </c>
      <c r="S38" s="114">
        <v>88.68</v>
      </c>
      <c r="T38" s="114">
        <v>20.46</v>
      </c>
      <c r="U38" s="112">
        <v>144.75</v>
      </c>
      <c r="V38" s="114">
        <v>36.57</v>
      </c>
      <c r="W38" s="116">
        <v>83.02</v>
      </c>
      <c r="X38" s="114">
        <v>10.130000000000001</v>
      </c>
      <c r="Y38" s="114">
        <v>93.62</v>
      </c>
      <c r="Z38" s="112">
        <v>217.9</v>
      </c>
      <c r="AA38" s="114">
        <v>11.2</v>
      </c>
      <c r="AB38" s="112">
        <v>38.86</v>
      </c>
      <c r="AC38" s="112">
        <v>192.05</v>
      </c>
      <c r="AD38" s="114">
        <v>22.91</v>
      </c>
      <c r="AE38" s="117">
        <v>33.72</v>
      </c>
      <c r="AF38" s="118">
        <v>13229.57</v>
      </c>
    </row>
    <row r="39" spans="1:32" s="1" customFormat="1" ht="12.5" x14ac:dyDescent="0.25">
      <c r="A39" s="126">
        <v>43040</v>
      </c>
      <c r="B39" s="112">
        <v>102.4</v>
      </c>
      <c r="C39" s="112">
        <v>178.1</v>
      </c>
      <c r="D39" s="113">
        <v>8.06</v>
      </c>
      <c r="E39" s="114">
        <v>94.65</v>
      </c>
      <c r="F39" s="112">
        <v>198.15</v>
      </c>
      <c r="G39" s="112">
        <v>102.95</v>
      </c>
      <c r="H39" s="114">
        <v>39.89</v>
      </c>
      <c r="I39" s="114">
        <v>69.52</v>
      </c>
      <c r="J39" s="114">
        <v>23.2</v>
      </c>
      <c r="K39" s="114">
        <v>84.68</v>
      </c>
      <c r="L39" s="115">
        <v>59.5</v>
      </c>
      <c r="M39" s="112">
        <v>175.2</v>
      </c>
      <c r="N39" s="114">
        <v>70.3</v>
      </c>
      <c r="O39" s="115">
        <v>12.41</v>
      </c>
      <c r="P39" s="115">
        <v>65.180000000000007</v>
      </c>
      <c r="Q39" s="112">
        <v>39.54</v>
      </c>
      <c r="R39" s="112">
        <v>89.43</v>
      </c>
      <c r="S39" s="114">
        <v>95.25</v>
      </c>
      <c r="T39" s="114">
        <v>18.350000000000001</v>
      </c>
      <c r="U39" s="112">
        <v>151.05000000000001</v>
      </c>
      <c r="V39" s="114">
        <v>37.14</v>
      </c>
      <c r="W39" s="116">
        <v>83.47</v>
      </c>
      <c r="X39" s="114">
        <v>9.7200000000000006</v>
      </c>
      <c r="Y39" s="114">
        <v>94</v>
      </c>
      <c r="Z39" s="112">
        <v>223.75</v>
      </c>
      <c r="AA39" s="114">
        <v>11.01</v>
      </c>
      <c r="AB39" s="112">
        <v>37.4</v>
      </c>
      <c r="AC39" s="112">
        <v>187.97</v>
      </c>
      <c r="AD39" s="114">
        <v>22.99</v>
      </c>
      <c r="AE39" s="117">
        <v>34.549999999999997</v>
      </c>
      <c r="AF39" s="118">
        <v>13023.98</v>
      </c>
    </row>
    <row r="40" spans="1:32" s="1" customFormat="1" ht="12.5" x14ac:dyDescent="0.25">
      <c r="A40" s="126">
        <v>43070</v>
      </c>
      <c r="B40" s="112">
        <v>100</v>
      </c>
      <c r="C40" s="112">
        <v>166.45</v>
      </c>
      <c r="D40" s="113">
        <v>8.15</v>
      </c>
      <c r="E40" s="114">
        <v>93.45</v>
      </c>
      <c r="F40" s="112">
        <v>191.5</v>
      </c>
      <c r="G40" s="112">
        <v>104.7</v>
      </c>
      <c r="H40" s="114">
        <v>39.75</v>
      </c>
      <c r="I40" s="114">
        <v>70.8</v>
      </c>
      <c r="J40" s="114">
        <v>22.84</v>
      </c>
      <c r="K40" s="114">
        <v>86.83</v>
      </c>
      <c r="L40" s="115">
        <v>59.76</v>
      </c>
      <c r="M40" s="112">
        <v>167.15</v>
      </c>
      <c r="N40" s="114">
        <v>69.78</v>
      </c>
      <c r="O40" s="115">
        <v>12.73</v>
      </c>
      <c r="P40" s="115">
        <v>59.51</v>
      </c>
      <c r="Q40" s="112">
        <v>41.39</v>
      </c>
      <c r="R40" s="112">
        <v>89.75</v>
      </c>
      <c r="S40" s="114">
        <v>96.8</v>
      </c>
      <c r="T40" s="114">
        <v>16.2</v>
      </c>
      <c r="U40" s="112">
        <v>149.4</v>
      </c>
      <c r="V40" s="114">
        <v>36.46</v>
      </c>
      <c r="W40" s="116">
        <v>87.78</v>
      </c>
      <c r="X40" s="114">
        <v>9.06</v>
      </c>
      <c r="Y40" s="114">
        <v>91.74</v>
      </c>
      <c r="Z40" s="112">
        <v>225.05</v>
      </c>
      <c r="AA40" s="114">
        <v>12.61</v>
      </c>
      <c r="AB40" s="112">
        <v>36.299999999999997</v>
      </c>
      <c r="AC40" s="112">
        <v>180.55</v>
      </c>
      <c r="AD40" s="114">
        <v>24.22</v>
      </c>
      <c r="AE40" s="117">
        <v>34.07</v>
      </c>
      <c r="AF40" s="118">
        <v>12917.64</v>
      </c>
    </row>
    <row r="41" spans="1:32" s="1" customFormat="1" ht="12.5" x14ac:dyDescent="0.25">
      <c r="A41" s="126">
        <v>43101</v>
      </c>
      <c r="B41" s="112">
        <v>100.8</v>
      </c>
      <c r="C41" s="112">
        <v>177.02</v>
      </c>
      <c r="D41" s="113">
        <v>7.37</v>
      </c>
      <c r="E41" s="114">
        <v>90.83</v>
      </c>
      <c r="F41" s="112">
        <v>203.5</v>
      </c>
      <c r="G41" s="112">
        <v>110.12</v>
      </c>
      <c r="H41" s="114">
        <v>38.07</v>
      </c>
      <c r="I41" s="114">
        <v>73.73</v>
      </c>
      <c r="J41" s="114">
        <v>23.41</v>
      </c>
      <c r="K41" s="114">
        <v>91.97</v>
      </c>
      <c r="L41" s="115">
        <v>63.45</v>
      </c>
      <c r="M41" s="112">
        <v>187.3</v>
      </c>
      <c r="N41" s="114">
        <v>74.400000000000006</v>
      </c>
      <c r="O41" s="115">
        <v>15.65</v>
      </c>
      <c r="P41" s="115">
        <v>66.7</v>
      </c>
      <c r="Q41" s="112">
        <v>39.71</v>
      </c>
      <c r="R41" s="112">
        <v>88.02</v>
      </c>
      <c r="S41" s="114">
        <v>103.35</v>
      </c>
      <c r="T41" s="114">
        <v>15.37</v>
      </c>
      <c r="U41" s="112">
        <v>144.30000000000001</v>
      </c>
      <c r="V41" s="114">
        <v>36.4</v>
      </c>
      <c r="W41" s="116">
        <v>93</v>
      </c>
      <c r="X41" s="114">
        <v>8.4600000000000009</v>
      </c>
      <c r="Y41" s="114">
        <v>94.32</v>
      </c>
      <c r="Z41" s="112">
        <v>241.7</v>
      </c>
      <c r="AA41" s="114">
        <v>11.59</v>
      </c>
      <c r="AB41" s="112">
        <v>33.9</v>
      </c>
      <c r="AC41" s="112">
        <v>190.7</v>
      </c>
      <c r="AD41" s="114">
        <v>25.34</v>
      </c>
      <c r="AE41" s="117">
        <v>35.64</v>
      </c>
      <c r="AF41" s="118">
        <v>13189.48</v>
      </c>
    </row>
    <row r="42" spans="1:32" s="1" customFormat="1" ht="12.5" x14ac:dyDescent="0.25">
      <c r="A42" s="126">
        <v>43132</v>
      </c>
      <c r="B42" s="112">
        <v>98.85</v>
      </c>
      <c r="C42" s="112">
        <v>161.12</v>
      </c>
      <c r="D42" s="113">
        <v>4.8099999999999996</v>
      </c>
      <c r="E42" s="114">
        <v>86.2</v>
      </c>
      <c r="F42" s="112">
        <v>192.02</v>
      </c>
      <c r="G42" s="112">
        <v>97.75</v>
      </c>
      <c r="H42" s="114">
        <v>37.64</v>
      </c>
      <c r="I42" s="114">
        <v>70.47</v>
      </c>
      <c r="J42" s="114">
        <v>22.4</v>
      </c>
      <c r="K42" s="114">
        <v>86.82</v>
      </c>
      <c r="L42" s="115">
        <v>72.8</v>
      </c>
      <c r="M42" s="112">
        <v>182.6</v>
      </c>
      <c r="N42" s="114">
        <v>69.12</v>
      </c>
      <c r="O42" s="115">
        <v>14.95</v>
      </c>
      <c r="P42" s="115">
        <v>64.650000000000006</v>
      </c>
      <c r="Q42" s="112">
        <v>37.549999999999997</v>
      </c>
      <c r="R42" s="112">
        <v>82.22</v>
      </c>
      <c r="S42" s="114">
        <v>109.45</v>
      </c>
      <c r="T42" s="114">
        <v>15.64</v>
      </c>
      <c r="U42" s="112">
        <v>137.6</v>
      </c>
      <c r="V42" s="114">
        <v>33.950000000000003</v>
      </c>
      <c r="W42" s="116">
        <v>87.1</v>
      </c>
      <c r="X42" s="114">
        <v>8.36</v>
      </c>
      <c r="Y42" s="114">
        <v>86.41</v>
      </c>
      <c r="Z42" s="112">
        <v>225.7</v>
      </c>
      <c r="AA42" s="114">
        <v>10.76</v>
      </c>
      <c r="AB42" s="112">
        <v>36.15</v>
      </c>
      <c r="AC42" s="112">
        <v>185.46</v>
      </c>
      <c r="AD42" s="114">
        <v>22.32</v>
      </c>
      <c r="AE42" s="117">
        <v>36.380000000000003</v>
      </c>
      <c r="AF42" s="118">
        <v>12435.85</v>
      </c>
    </row>
    <row r="43" spans="1:32" s="1" customFormat="1" ht="12.5" x14ac:dyDescent="0.25">
      <c r="A43" s="126">
        <v>43160</v>
      </c>
      <c r="B43" s="112">
        <v>102.3</v>
      </c>
      <c r="C43" s="112">
        <v>161.38</v>
      </c>
      <c r="D43" s="113">
        <v>4.2699999999999996</v>
      </c>
      <c r="E43" s="114">
        <v>84.97</v>
      </c>
      <c r="F43" s="112">
        <v>183.4</v>
      </c>
      <c r="G43" s="112">
        <v>93.32</v>
      </c>
      <c r="H43" s="114">
        <v>35.520000000000003</v>
      </c>
      <c r="I43" s="114">
        <v>68.97</v>
      </c>
      <c r="J43" s="114">
        <v>21.74</v>
      </c>
      <c r="K43" s="114">
        <v>88.15</v>
      </c>
      <c r="L43" s="115">
        <v>71.599999999999994</v>
      </c>
      <c r="M43" s="112">
        <v>196.65</v>
      </c>
      <c r="N43" s="114">
        <v>67.5</v>
      </c>
      <c r="O43" s="115">
        <v>13</v>
      </c>
      <c r="P43" s="115">
        <v>58.75</v>
      </c>
      <c r="Q43" s="112">
        <v>40.25</v>
      </c>
      <c r="R43" s="112">
        <v>77.900000000000006</v>
      </c>
      <c r="S43" s="114">
        <v>110.6</v>
      </c>
      <c r="T43" s="114">
        <v>19.12</v>
      </c>
      <c r="U43" s="112">
        <v>136.80000000000001</v>
      </c>
      <c r="V43" s="114">
        <v>37.9</v>
      </c>
      <c r="W43" s="116">
        <v>82.98</v>
      </c>
      <c r="X43" s="114">
        <v>9.02</v>
      </c>
      <c r="Y43" s="114">
        <v>82.47</v>
      </c>
      <c r="Z43" s="112">
        <v>224.3</v>
      </c>
      <c r="AA43" s="114">
        <v>9.35</v>
      </c>
      <c r="AB43" s="112">
        <v>39.65</v>
      </c>
      <c r="AC43" s="112">
        <v>188.07</v>
      </c>
      <c r="AD43" s="114">
        <v>21.19</v>
      </c>
      <c r="AE43" s="117">
        <v>35.340000000000003</v>
      </c>
      <c r="AF43" s="118">
        <v>12096.73</v>
      </c>
    </row>
    <row r="44" spans="1:32" s="1" customFormat="1" ht="12.5" x14ac:dyDescent="0.25">
      <c r="A44" s="126">
        <v>43191</v>
      </c>
      <c r="B44" s="112">
        <v>98.75</v>
      </c>
      <c r="C44" s="112">
        <v>171.84</v>
      </c>
      <c r="D44" s="113">
        <v>4.01</v>
      </c>
      <c r="E44" s="114">
        <v>92.42</v>
      </c>
      <c r="F44" s="112">
        <v>196.46</v>
      </c>
      <c r="G44" s="112">
        <v>95.23</v>
      </c>
      <c r="H44" s="114">
        <v>36.1</v>
      </c>
      <c r="I44" s="114">
        <v>65.5</v>
      </c>
      <c r="J44" s="114">
        <v>21.28</v>
      </c>
      <c r="K44" s="114">
        <v>92.47</v>
      </c>
      <c r="L44" s="115">
        <v>75.400000000000006</v>
      </c>
      <c r="M44" s="112">
        <v>203.9</v>
      </c>
      <c r="N44" s="114">
        <v>70.8</v>
      </c>
      <c r="O44" s="115">
        <v>12.5</v>
      </c>
      <c r="P44" s="115">
        <v>67.650000000000006</v>
      </c>
      <c r="Q44" s="112">
        <v>41.61</v>
      </c>
      <c r="R44" s="112">
        <v>81.22</v>
      </c>
      <c r="S44" s="114">
        <v>111.65</v>
      </c>
      <c r="T44" s="114">
        <v>19.88</v>
      </c>
      <c r="U44" s="112">
        <v>143</v>
      </c>
      <c r="V44" s="114">
        <v>39.14</v>
      </c>
      <c r="W44" s="116">
        <v>84.28</v>
      </c>
      <c r="X44" s="114">
        <v>9.07</v>
      </c>
      <c r="Y44" s="114">
        <v>86.32</v>
      </c>
      <c r="Z44" s="112">
        <v>221.2</v>
      </c>
      <c r="AA44" s="114">
        <v>9.3000000000000007</v>
      </c>
      <c r="AB44" s="112">
        <v>40.450000000000003</v>
      </c>
      <c r="AC44" s="112">
        <v>188.9</v>
      </c>
      <c r="AD44" s="114">
        <v>21.6</v>
      </c>
      <c r="AE44" s="117">
        <v>37.380000000000003</v>
      </c>
      <c r="AF44" s="118">
        <v>12612.11</v>
      </c>
    </row>
    <row r="45" spans="1:32" s="1" customFormat="1" ht="12.5" x14ac:dyDescent="0.25">
      <c r="A45" s="126">
        <v>43221</v>
      </c>
      <c r="B45" s="112">
        <v>96.45</v>
      </c>
      <c r="C45" s="112">
        <v>160.94</v>
      </c>
      <c r="D45" s="113">
        <v>5.25</v>
      </c>
      <c r="E45" s="114">
        <v>96.34</v>
      </c>
      <c r="F45" s="112">
        <v>176.38</v>
      </c>
      <c r="G45" s="112">
        <v>100.51</v>
      </c>
      <c r="H45" s="114">
        <v>32.47</v>
      </c>
      <c r="I45" s="114">
        <v>61.68</v>
      </c>
      <c r="J45" s="114">
        <v>23.49</v>
      </c>
      <c r="K45" s="114">
        <v>85.38</v>
      </c>
      <c r="L45" s="115">
        <v>82.85</v>
      </c>
      <c r="M45" s="112">
        <v>193.6</v>
      </c>
      <c r="N45" s="114">
        <v>63.08</v>
      </c>
      <c r="O45" s="115">
        <v>12.85</v>
      </c>
      <c r="P45" s="115">
        <v>77.75</v>
      </c>
      <c r="Q45" s="112">
        <v>40.36</v>
      </c>
      <c r="R45" s="112">
        <v>87.34</v>
      </c>
      <c r="S45" s="114">
        <v>114.4</v>
      </c>
      <c r="T45" s="114">
        <v>19.399999999999999</v>
      </c>
      <c r="U45" s="112">
        <v>161.69999999999999</v>
      </c>
      <c r="V45" s="114">
        <v>40.130000000000003</v>
      </c>
      <c r="W45" s="116">
        <v>85.42</v>
      </c>
      <c r="X45" s="114">
        <v>9.07</v>
      </c>
      <c r="Y45" s="114">
        <v>84.25</v>
      </c>
      <c r="Z45" s="112">
        <v>217.1</v>
      </c>
      <c r="AA45" s="114">
        <v>8.3800000000000008</v>
      </c>
      <c r="AB45" s="112">
        <v>51.9</v>
      </c>
      <c r="AC45" s="112">
        <v>179.51</v>
      </c>
      <c r="AD45" s="114">
        <v>22.57</v>
      </c>
      <c r="AE45" s="117">
        <v>32.979999999999997</v>
      </c>
      <c r="AF45" s="118">
        <v>12604.89</v>
      </c>
    </row>
    <row r="46" spans="1:32" s="1" customFormat="1" ht="12.5" x14ac:dyDescent="0.25">
      <c r="A46" s="126">
        <v>43252</v>
      </c>
      <c r="B46" s="112">
        <v>95.25</v>
      </c>
      <c r="C46" s="112">
        <v>142.22</v>
      </c>
      <c r="D46" s="113">
        <v>5.39</v>
      </c>
      <c r="E46" s="114">
        <v>98.95</v>
      </c>
      <c r="F46" s="112">
        <v>177.02</v>
      </c>
      <c r="G46" s="112">
        <v>102.06</v>
      </c>
      <c r="H46" s="114">
        <v>27.97</v>
      </c>
      <c r="I46" s="114">
        <v>55.13</v>
      </c>
      <c r="J46" s="114">
        <v>21.83</v>
      </c>
      <c r="K46" s="114">
        <v>77.63</v>
      </c>
      <c r="L46" s="115">
        <v>88.85</v>
      </c>
      <c r="M46" s="112">
        <v>186.95</v>
      </c>
      <c r="N46" s="114">
        <v>54.56</v>
      </c>
      <c r="O46" s="115">
        <v>11.7</v>
      </c>
      <c r="P46" s="115">
        <v>71.8</v>
      </c>
      <c r="Q46" s="112">
        <v>40.76</v>
      </c>
      <c r="R46" s="112">
        <v>83.62</v>
      </c>
      <c r="S46" s="114">
        <v>114.15</v>
      </c>
      <c r="T46" s="114">
        <v>19.53</v>
      </c>
      <c r="U46" s="112">
        <v>164.6</v>
      </c>
      <c r="V46" s="114">
        <v>41.4</v>
      </c>
      <c r="W46" s="116">
        <v>86.38</v>
      </c>
      <c r="X46" s="114">
        <v>9.15</v>
      </c>
      <c r="Y46" s="114">
        <v>81.91</v>
      </c>
      <c r="Z46" s="112">
        <v>195.55</v>
      </c>
      <c r="AA46" s="114">
        <v>7.14</v>
      </c>
      <c r="AB46" s="112">
        <v>50.1</v>
      </c>
      <c r="AC46" s="112">
        <v>181.12</v>
      </c>
      <c r="AD46" s="114">
        <v>20.82</v>
      </c>
      <c r="AE46" s="117">
        <v>31.28</v>
      </c>
      <c r="AF46" s="118">
        <v>12306</v>
      </c>
    </row>
    <row r="47" spans="1:32" s="1" customFormat="1" ht="12.5" x14ac:dyDescent="0.25">
      <c r="A47" s="126">
        <v>43282</v>
      </c>
      <c r="B47" s="112">
        <v>91.7</v>
      </c>
      <c r="C47" s="112">
        <v>152.22</v>
      </c>
      <c r="D47" s="113">
        <v>6.19</v>
      </c>
      <c r="E47" s="114">
        <v>99.85</v>
      </c>
      <c r="F47" s="112">
        <v>189.14</v>
      </c>
      <c r="G47" s="112">
        <v>108.86</v>
      </c>
      <c r="H47" s="114">
        <v>30.19</v>
      </c>
      <c r="I47" s="114">
        <v>59.15</v>
      </c>
      <c r="J47" s="114">
        <v>22.66</v>
      </c>
      <c r="K47" s="114">
        <v>82.69</v>
      </c>
      <c r="L47" s="115">
        <v>102</v>
      </c>
      <c r="M47" s="112">
        <v>189.15</v>
      </c>
      <c r="N47" s="114">
        <v>57.9</v>
      </c>
      <c r="O47" s="115">
        <v>12.95</v>
      </c>
      <c r="P47" s="115">
        <v>71.650000000000006</v>
      </c>
      <c r="Q47" s="112">
        <v>41.41</v>
      </c>
      <c r="R47" s="112">
        <v>87.88</v>
      </c>
      <c r="S47" s="114">
        <v>112.7</v>
      </c>
      <c r="T47" s="114">
        <v>22.44</v>
      </c>
      <c r="U47" s="112">
        <v>181</v>
      </c>
      <c r="V47" s="114">
        <v>41.66</v>
      </c>
      <c r="W47" s="116">
        <v>83.54</v>
      </c>
      <c r="X47" s="114">
        <v>9.64</v>
      </c>
      <c r="Y47" s="114">
        <v>82.16</v>
      </c>
      <c r="Z47" s="112">
        <v>197</v>
      </c>
      <c r="AA47" s="114">
        <v>7.02</v>
      </c>
      <c r="AB47" s="112">
        <v>42.9</v>
      </c>
      <c r="AC47" s="112">
        <v>189.65</v>
      </c>
      <c r="AD47" s="114">
        <v>22.82</v>
      </c>
      <c r="AE47" s="117">
        <v>32.700000000000003</v>
      </c>
      <c r="AF47" s="118">
        <v>12805.5</v>
      </c>
    </row>
    <row r="48" spans="1:32" s="1" customFormat="1" ht="12.5" x14ac:dyDescent="0.25">
      <c r="A48" s="126">
        <v>43313</v>
      </c>
      <c r="B48" s="112">
        <v>96.15</v>
      </c>
      <c r="C48" s="112">
        <v>140.84</v>
      </c>
      <c r="D48" s="113">
        <v>6.06</v>
      </c>
      <c r="E48" s="114">
        <v>103.62</v>
      </c>
      <c r="F48" s="112">
        <v>183.64</v>
      </c>
      <c r="G48" s="112">
        <v>100.95</v>
      </c>
      <c r="H48" s="114">
        <v>31.41</v>
      </c>
      <c r="I48" s="114">
        <v>55.7</v>
      </c>
      <c r="J48" s="114">
        <v>21.92</v>
      </c>
      <c r="K48" s="114">
        <v>83.41</v>
      </c>
      <c r="L48" s="115">
        <v>109.4</v>
      </c>
      <c r="M48" s="112">
        <v>214.9</v>
      </c>
      <c r="N48" s="114">
        <v>54.52</v>
      </c>
      <c r="O48" s="115">
        <v>13.7</v>
      </c>
      <c r="P48" s="115">
        <v>66.95</v>
      </c>
      <c r="Q48" s="112">
        <v>44.19</v>
      </c>
      <c r="R48" s="112">
        <v>90.48</v>
      </c>
      <c r="S48" s="114">
        <v>119</v>
      </c>
      <c r="T48" s="114">
        <v>21.85</v>
      </c>
      <c r="U48" s="112">
        <v>188.9</v>
      </c>
      <c r="V48" s="114">
        <v>43.54</v>
      </c>
      <c r="W48" s="116">
        <v>87.26</v>
      </c>
      <c r="X48" s="114">
        <v>9.18</v>
      </c>
      <c r="Y48" s="114">
        <v>79.69</v>
      </c>
      <c r="Z48" s="112">
        <v>158.05000000000001</v>
      </c>
      <c r="AA48" s="114">
        <v>6.55</v>
      </c>
      <c r="AB48" s="112">
        <v>47.2</v>
      </c>
      <c r="AC48" s="112">
        <v>186.87</v>
      </c>
      <c r="AD48" s="114">
        <v>19.91</v>
      </c>
      <c r="AE48" s="117">
        <v>32.520000000000003</v>
      </c>
      <c r="AF48" s="118">
        <v>12364.06</v>
      </c>
    </row>
    <row r="49" spans="1:32" s="1" customFormat="1" ht="12.5" x14ac:dyDescent="0.25">
      <c r="A49" s="126">
        <v>43344</v>
      </c>
      <c r="B49" s="112">
        <v>91.45</v>
      </c>
      <c r="C49" s="112">
        <v>151.6</v>
      </c>
      <c r="D49" s="113">
        <v>5.88</v>
      </c>
      <c r="E49" s="114">
        <v>106</v>
      </c>
      <c r="F49" s="112">
        <v>192</v>
      </c>
      <c r="G49" s="112">
        <v>99.47</v>
      </c>
      <c r="H49" s="114">
        <v>30.71</v>
      </c>
      <c r="I49" s="114">
        <v>54.35</v>
      </c>
      <c r="J49" s="114">
        <v>19.57</v>
      </c>
      <c r="K49" s="114">
        <v>77.709999999999994</v>
      </c>
      <c r="L49" s="115">
        <v>117.2</v>
      </c>
      <c r="M49" s="112">
        <v>210.9</v>
      </c>
      <c r="N49" s="114">
        <v>58</v>
      </c>
      <c r="O49" s="115">
        <v>15.6</v>
      </c>
      <c r="P49" s="115">
        <v>61.35</v>
      </c>
      <c r="Q49" s="112">
        <v>42.08</v>
      </c>
      <c r="R49" s="112">
        <v>89</v>
      </c>
      <c r="S49" s="114">
        <v>115.4</v>
      </c>
      <c r="T49" s="114">
        <v>21.25</v>
      </c>
      <c r="U49" s="112">
        <v>194.1</v>
      </c>
      <c r="V49" s="114">
        <v>41.32</v>
      </c>
      <c r="W49" s="116">
        <v>88.58</v>
      </c>
      <c r="X49" s="114">
        <v>8.7799999999999994</v>
      </c>
      <c r="Y49" s="114">
        <v>76.55</v>
      </c>
      <c r="Z49" s="112">
        <v>149.94999999999999</v>
      </c>
      <c r="AA49" s="114">
        <v>6.08</v>
      </c>
      <c r="AB49" s="112">
        <v>42.5</v>
      </c>
      <c r="AC49" s="112">
        <v>191.5</v>
      </c>
      <c r="AD49" s="114">
        <v>21.74</v>
      </c>
      <c r="AE49" s="117">
        <v>32.74</v>
      </c>
      <c r="AF49" s="118">
        <v>12246.73</v>
      </c>
    </row>
    <row r="50" spans="1:32" s="1" customFormat="1" ht="12.5" x14ac:dyDescent="0.25">
      <c r="A50" s="126">
        <v>43374</v>
      </c>
      <c r="B50" s="112">
        <v>86.6</v>
      </c>
      <c r="C50" s="112">
        <v>148.76</v>
      </c>
      <c r="D50" s="113">
        <v>5.2</v>
      </c>
      <c r="E50" s="114">
        <v>94.66</v>
      </c>
      <c r="F50" s="112">
        <v>184.44</v>
      </c>
      <c r="G50" s="112">
        <v>91.7</v>
      </c>
      <c r="H50" s="114">
        <v>27.95</v>
      </c>
      <c r="I50" s="114">
        <v>52.36</v>
      </c>
      <c r="J50" s="114">
        <v>17.71</v>
      </c>
      <c r="K50" s="114">
        <v>76.23</v>
      </c>
      <c r="L50" s="115">
        <v>109</v>
      </c>
      <c r="M50" s="112">
        <v>208</v>
      </c>
      <c r="N50" s="114">
        <v>56.28</v>
      </c>
      <c r="O50" s="115">
        <v>12.8</v>
      </c>
      <c r="P50" s="115">
        <v>62.45</v>
      </c>
      <c r="Q50" s="112">
        <v>40.42</v>
      </c>
      <c r="R50" s="112">
        <v>94.62</v>
      </c>
      <c r="S50" s="114">
        <v>111.85</v>
      </c>
      <c r="T50" s="114">
        <v>17.22</v>
      </c>
      <c r="U50" s="112">
        <v>187.8</v>
      </c>
      <c r="V50" s="114">
        <v>40.44</v>
      </c>
      <c r="W50" s="116">
        <v>69.319999999999993</v>
      </c>
      <c r="X50" s="114">
        <v>8.56</v>
      </c>
      <c r="Y50" s="114">
        <v>68.03</v>
      </c>
      <c r="Z50" s="112">
        <v>145.94999999999999</v>
      </c>
      <c r="AA50" s="114">
        <v>4.5199999999999996</v>
      </c>
      <c r="AB50" s="112">
        <v>45.4</v>
      </c>
      <c r="AC50" s="112">
        <v>189.3</v>
      </c>
      <c r="AD50" s="114">
        <v>18.579999999999998</v>
      </c>
      <c r="AE50" s="117">
        <v>31.62</v>
      </c>
      <c r="AF50" s="118">
        <v>11447.51</v>
      </c>
    </row>
    <row r="51" spans="1:32" s="1" customFormat="1" ht="12.5" x14ac:dyDescent="0.25">
      <c r="A51" s="126">
        <v>43405</v>
      </c>
      <c r="B51" s="112">
        <v>91.2</v>
      </c>
      <c r="C51" s="112">
        <v>148.9</v>
      </c>
      <c r="D51" s="113">
        <v>6.99</v>
      </c>
      <c r="E51" s="114">
        <v>90.92</v>
      </c>
      <c r="F51" s="112">
        <v>186.5</v>
      </c>
      <c r="G51" s="112">
        <v>92.31</v>
      </c>
      <c r="H51" s="114">
        <v>28.12</v>
      </c>
      <c r="I51" s="114">
        <v>49.7</v>
      </c>
      <c r="J51" s="114">
        <v>18.5</v>
      </c>
      <c r="K51" s="114">
        <v>72.209999999999994</v>
      </c>
      <c r="L51" s="115">
        <v>90.95</v>
      </c>
      <c r="M51" s="112">
        <v>194.8</v>
      </c>
      <c r="N51" s="114">
        <v>56.5</v>
      </c>
      <c r="O51" s="115">
        <v>13</v>
      </c>
      <c r="P51" s="115">
        <v>56.95</v>
      </c>
      <c r="Q51" s="112">
        <v>42.77</v>
      </c>
      <c r="R51" s="112">
        <v>97.36</v>
      </c>
      <c r="S51" s="114">
        <v>112.8</v>
      </c>
      <c r="T51" s="114">
        <v>19.07</v>
      </c>
      <c r="U51" s="112">
        <v>183.6</v>
      </c>
      <c r="V51" s="114">
        <v>42.34</v>
      </c>
      <c r="W51" s="116">
        <v>71.88</v>
      </c>
      <c r="X51" s="114">
        <v>9.01</v>
      </c>
      <c r="Y51" s="114">
        <v>64.37</v>
      </c>
      <c r="Z51" s="112">
        <v>132.25</v>
      </c>
      <c r="AA51" s="114">
        <v>4.12</v>
      </c>
      <c r="AB51" s="112">
        <v>44.3</v>
      </c>
      <c r="AC51" s="112">
        <v>191.83</v>
      </c>
      <c r="AD51" s="114">
        <v>16.5</v>
      </c>
      <c r="AE51" s="117">
        <v>31.52</v>
      </c>
      <c r="AF51" s="118">
        <v>11257.24</v>
      </c>
    </row>
    <row r="52" spans="1:32" s="1" customFormat="1" ht="12.5" x14ac:dyDescent="0.25">
      <c r="A52" s="126">
        <v>43435</v>
      </c>
      <c r="B52" s="112">
        <v>85.75</v>
      </c>
      <c r="C52" s="112">
        <v>138.91999999999999</v>
      </c>
      <c r="D52" s="113">
        <v>6.68</v>
      </c>
      <c r="E52" s="114">
        <v>86.93</v>
      </c>
      <c r="F52" s="112">
        <v>175.14</v>
      </c>
      <c r="G52" s="112">
        <v>87.78</v>
      </c>
      <c r="H52" s="114">
        <v>23.91</v>
      </c>
      <c r="I52" s="114">
        <v>45.91</v>
      </c>
      <c r="J52" s="114">
        <v>17.37</v>
      </c>
      <c r="K52" s="114">
        <v>70.7</v>
      </c>
      <c r="L52" s="115">
        <v>84.4</v>
      </c>
      <c r="M52" s="112">
        <v>182.4</v>
      </c>
      <c r="N52" s="114">
        <v>51.64</v>
      </c>
      <c r="O52" s="115">
        <v>12.1</v>
      </c>
      <c r="P52" s="115">
        <v>50.6</v>
      </c>
      <c r="Q52" s="112">
        <v>39.590000000000003</v>
      </c>
      <c r="R52" s="112">
        <v>89.98</v>
      </c>
      <c r="S52" s="114">
        <v>104.95</v>
      </c>
      <c r="T52" s="114">
        <v>18.97</v>
      </c>
      <c r="U52" s="112">
        <v>158.4</v>
      </c>
      <c r="V52" s="114">
        <v>40</v>
      </c>
      <c r="W52" s="116">
        <v>56.64</v>
      </c>
      <c r="X52" s="114">
        <v>8.6300000000000008</v>
      </c>
      <c r="Y52" s="114">
        <v>60.4</v>
      </c>
      <c r="Z52" s="112">
        <v>120.75</v>
      </c>
      <c r="AA52" s="114">
        <v>3.15</v>
      </c>
      <c r="AB52" s="112">
        <v>42.7</v>
      </c>
      <c r="AC52" s="112">
        <v>189.66</v>
      </c>
      <c r="AD52" s="114">
        <v>14.98</v>
      </c>
      <c r="AE52" s="117">
        <v>29.8</v>
      </c>
      <c r="AF52" s="118">
        <v>10558.96</v>
      </c>
    </row>
    <row r="53" spans="1:32" s="1" customFormat="1" ht="12.5" x14ac:dyDescent="0.25">
      <c r="A53" s="126">
        <v>43466</v>
      </c>
      <c r="B53" s="112">
        <v>80.05</v>
      </c>
      <c r="C53" s="112">
        <v>148.62</v>
      </c>
      <c r="D53" s="113">
        <v>6.99</v>
      </c>
      <c r="E53" s="114">
        <v>90.25</v>
      </c>
      <c r="F53" s="112">
        <v>184.92</v>
      </c>
      <c r="G53" s="112">
        <v>86.34</v>
      </c>
      <c r="H53" s="114">
        <v>25.76</v>
      </c>
      <c r="I53" s="114">
        <v>51.66</v>
      </c>
      <c r="J53" s="114">
        <v>19.420000000000002</v>
      </c>
      <c r="K53" s="114">
        <v>73.459999999999994</v>
      </c>
      <c r="L53" s="115">
        <v>98.6</v>
      </c>
      <c r="M53" s="112">
        <v>207.7</v>
      </c>
      <c r="N53" s="114">
        <v>56.8</v>
      </c>
      <c r="O53" s="115">
        <v>13.1</v>
      </c>
      <c r="P53" s="115">
        <v>67.3</v>
      </c>
      <c r="Q53" s="112">
        <v>43.81</v>
      </c>
      <c r="R53" s="112">
        <v>91.58</v>
      </c>
      <c r="S53" s="114">
        <v>116.25</v>
      </c>
      <c r="T53" s="114">
        <v>21.64</v>
      </c>
      <c r="U53" s="112">
        <v>188.2</v>
      </c>
      <c r="V53" s="114">
        <v>43.59</v>
      </c>
      <c r="W53" s="116">
        <v>64.36</v>
      </c>
      <c r="X53" s="114">
        <v>9.68</v>
      </c>
      <c r="Y53" s="114">
        <v>63.82</v>
      </c>
      <c r="Z53" s="112">
        <v>137.65</v>
      </c>
      <c r="AA53" s="114">
        <v>4.0999999999999996</v>
      </c>
      <c r="AB53" s="112">
        <v>48.65</v>
      </c>
      <c r="AC53" s="112">
        <v>194.22</v>
      </c>
      <c r="AD53" s="114">
        <v>15.47</v>
      </c>
      <c r="AE53" s="117">
        <v>32.42</v>
      </c>
      <c r="AF53" s="118">
        <v>11173.1</v>
      </c>
    </row>
    <row r="54" spans="1:32" s="1" customFormat="1" ht="12.5" x14ac:dyDescent="0.25">
      <c r="A54" s="126">
        <v>43497</v>
      </c>
      <c r="B54" s="112">
        <v>82.6</v>
      </c>
      <c r="C54" s="112">
        <v>150.9</v>
      </c>
      <c r="D54" s="113">
        <v>6.76</v>
      </c>
      <c r="E54" s="114">
        <v>94.2</v>
      </c>
      <c r="F54" s="112">
        <v>195.6</v>
      </c>
      <c r="G54" s="112">
        <v>86.66</v>
      </c>
      <c r="H54" s="114">
        <v>27.32</v>
      </c>
      <c r="I54" s="114">
        <v>52.66</v>
      </c>
      <c r="J54" s="114">
        <v>19.309999999999999</v>
      </c>
      <c r="K54" s="114">
        <v>74.31</v>
      </c>
      <c r="L54" s="115">
        <v>103.6</v>
      </c>
      <c r="M54" s="112">
        <v>213.6</v>
      </c>
      <c r="N54" s="114">
        <v>58.62</v>
      </c>
      <c r="O54" s="115">
        <v>16</v>
      </c>
      <c r="P54" s="115">
        <v>69.849999999999994</v>
      </c>
      <c r="Q54" s="112">
        <v>42.64</v>
      </c>
      <c r="R54" s="112">
        <v>90.78</v>
      </c>
      <c r="S54" s="114">
        <v>111.1</v>
      </c>
      <c r="T54" s="114">
        <v>21.46</v>
      </c>
      <c r="U54" s="112">
        <v>188.5</v>
      </c>
      <c r="V54" s="114">
        <v>41</v>
      </c>
      <c r="W54" s="116">
        <v>68.88</v>
      </c>
      <c r="X54" s="114">
        <v>9.69</v>
      </c>
      <c r="Y54" s="114">
        <v>66.989999999999995</v>
      </c>
      <c r="Z54" s="112">
        <v>144</v>
      </c>
      <c r="AA54" s="114">
        <v>4.95</v>
      </c>
      <c r="AB54" s="112">
        <v>49.55</v>
      </c>
      <c r="AC54" s="112">
        <v>205.26</v>
      </c>
      <c r="AD54" s="114">
        <v>13.15</v>
      </c>
      <c r="AE54" s="117">
        <v>33.96</v>
      </c>
      <c r="AF54" s="118">
        <v>11515.64</v>
      </c>
    </row>
    <row r="55" spans="1:32" s="1" customFormat="1" ht="12.5" x14ac:dyDescent="0.25">
      <c r="A55" s="126">
        <v>43525</v>
      </c>
      <c r="B55" s="112">
        <v>84.75</v>
      </c>
      <c r="C55" s="112">
        <v>140.32</v>
      </c>
      <c r="D55" s="113">
        <v>6.93</v>
      </c>
      <c r="E55" s="114">
        <v>103</v>
      </c>
      <c r="F55" s="112">
        <v>198.28</v>
      </c>
      <c r="G55" s="112">
        <v>86.49</v>
      </c>
      <c r="H55" s="114">
        <v>29</v>
      </c>
      <c r="I55" s="114">
        <v>52.25</v>
      </c>
      <c r="J55" s="114">
        <v>17.690000000000001</v>
      </c>
      <c r="K55" s="114">
        <v>68.75</v>
      </c>
      <c r="L55" s="115">
        <v>111.6</v>
      </c>
      <c r="M55" s="112">
        <v>216.6</v>
      </c>
      <c r="N55" s="114">
        <v>55.94</v>
      </c>
      <c r="O55" s="115">
        <v>16.2</v>
      </c>
      <c r="P55" s="115">
        <v>72.05</v>
      </c>
      <c r="Q55" s="112">
        <v>46.22</v>
      </c>
      <c r="R55" s="112">
        <v>101.65</v>
      </c>
      <c r="S55" s="114">
        <v>114.3</v>
      </c>
      <c r="T55" s="114">
        <v>23.9</v>
      </c>
      <c r="U55" s="112">
        <v>201.8</v>
      </c>
      <c r="V55" s="114">
        <v>43.23</v>
      </c>
      <c r="W55" s="116">
        <v>71.900000000000006</v>
      </c>
      <c r="X55" s="114">
        <v>9.91</v>
      </c>
      <c r="Y55" s="114">
        <v>65.53</v>
      </c>
      <c r="Z55" s="112">
        <v>134.19999999999999</v>
      </c>
      <c r="AA55" s="114">
        <v>4.74</v>
      </c>
      <c r="AB55" s="112">
        <v>51.7</v>
      </c>
      <c r="AC55" s="112">
        <v>210.77</v>
      </c>
      <c r="AD55" s="114">
        <v>12.25</v>
      </c>
      <c r="AE55" s="117">
        <v>34.36</v>
      </c>
      <c r="AF55" s="118">
        <v>11526.04</v>
      </c>
    </row>
    <row r="56" spans="1:32" s="1" customFormat="1" ht="12.5" x14ac:dyDescent="0.25">
      <c r="A56" s="126">
        <v>43556</v>
      </c>
      <c r="B56" s="112">
        <v>84.95</v>
      </c>
      <c r="C56" s="112">
        <v>155.04</v>
      </c>
      <c r="D56" s="113">
        <v>7.75</v>
      </c>
      <c r="E56" s="114">
        <v>114.58</v>
      </c>
      <c r="F56" s="112">
        <v>214.8</v>
      </c>
      <c r="G56" s="112">
        <v>96.22</v>
      </c>
      <c r="H56" s="114">
        <v>30.9</v>
      </c>
      <c r="I56" s="114">
        <v>58.34</v>
      </c>
      <c r="J56" s="114">
        <v>21.03</v>
      </c>
      <c r="K56" s="114">
        <v>75.900000000000006</v>
      </c>
      <c r="L56" s="115">
        <v>120.7</v>
      </c>
      <c r="M56" s="112">
        <v>229.1</v>
      </c>
      <c r="N56" s="114">
        <v>61.84</v>
      </c>
      <c r="O56" s="115">
        <v>17.850000000000001</v>
      </c>
      <c r="P56" s="115">
        <v>90.55</v>
      </c>
      <c r="Q56" s="112">
        <v>44.47</v>
      </c>
      <c r="R56" s="112">
        <v>94.88</v>
      </c>
      <c r="S56" s="114">
        <v>118.9</v>
      </c>
      <c r="T56" s="114">
        <v>22.77</v>
      </c>
      <c r="U56" s="112">
        <v>209.7</v>
      </c>
      <c r="V56" s="114">
        <v>40.07</v>
      </c>
      <c r="W56" s="116">
        <v>74.959999999999994</v>
      </c>
      <c r="X56" s="114">
        <v>9.57</v>
      </c>
      <c r="Y56" s="114">
        <v>72.489999999999995</v>
      </c>
      <c r="Z56" s="112">
        <v>147.36000000000001</v>
      </c>
      <c r="AA56" s="114">
        <v>5.98</v>
      </c>
      <c r="AB56" s="112">
        <v>55.15</v>
      </c>
      <c r="AC56" s="112">
        <v>221.5</v>
      </c>
      <c r="AD56" s="114">
        <v>12.54</v>
      </c>
      <c r="AE56" s="117">
        <v>35.619999999999997</v>
      </c>
      <c r="AF56" s="118">
        <v>12344.08</v>
      </c>
    </row>
    <row r="57" spans="1:32" s="1" customFormat="1" ht="12.5" x14ac:dyDescent="0.25">
      <c r="A57" s="126">
        <v>43586</v>
      </c>
      <c r="B57" s="112">
        <v>77.599999999999994</v>
      </c>
      <c r="C57" s="112">
        <v>139.5</v>
      </c>
      <c r="D57" s="113">
        <v>7.43</v>
      </c>
      <c r="E57" s="114">
        <v>110.42</v>
      </c>
      <c r="F57" s="112">
        <v>198.86</v>
      </c>
      <c r="G57" s="112">
        <v>91.44</v>
      </c>
      <c r="H57" s="114">
        <v>26.38</v>
      </c>
      <c r="I57" s="114">
        <v>46.44</v>
      </c>
      <c r="J57" s="114">
        <v>16.079999999999998</v>
      </c>
      <c r="K57" s="114">
        <v>62.02</v>
      </c>
      <c r="L57" s="115">
        <v>122.5</v>
      </c>
      <c r="M57" s="112">
        <v>256.2</v>
      </c>
      <c r="N57" s="114">
        <v>55.78</v>
      </c>
      <c r="O57" s="115">
        <v>18.8</v>
      </c>
      <c r="P57" s="115">
        <v>73.55</v>
      </c>
      <c r="Q57" s="112">
        <v>46.96</v>
      </c>
      <c r="R57" s="112">
        <v>86.46</v>
      </c>
      <c r="S57" s="114">
        <v>123.75</v>
      </c>
      <c r="T57" s="114">
        <v>22.36</v>
      </c>
      <c r="U57" s="112">
        <v>193.6</v>
      </c>
      <c r="V57" s="114">
        <v>42.25</v>
      </c>
      <c r="W57" s="116">
        <v>65.28</v>
      </c>
      <c r="X57" s="114">
        <v>9.35</v>
      </c>
      <c r="Y57" s="114">
        <v>59.06</v>
      </c>
      <c r="Z57" s="112">
        <v>121.8</v>
      </c>
      <c r="AA57" s="114">
        <v>5.0599999999999996</v>
      </c>
      <c r="AB57" s="112">
        <v>52.05</v>
      </c>
      <c r="AC57" s="112">
        <v>215.86</v>
      </c>
      <c r="AD57" s="114">
        <v>11.34</v>
      </c>
      <c r="AE57" s="117">
        <v>35.56</v>
      </c>
      <c r="AF57" s="118">
        <v>11726.84</v>
      </c>
    </row>
    <row r="58" spans="1:32" s="1" customFormat="1" ht="12.5" x14ac:dyDescent="0.25">
      <c r="A58" s="126">
        <v>43617</v>
      </c>
      <c r="B58" s="112">
        <v>80.75</v>
      </c>
      <c r="C58" s="112">
        <v>148.22</v>
      </c>
      <c r="D58" s="113">
        <v>7.79</v>
      </c>
      <c r="E58" s="114">
        <v>120.76</v>
      </c>
      <c r="F58" s="112">
        <v>212</v>
      </c>
      <c r="G58" s="112">
        <v>94.29</v>
      </c>
      <c r="H58" s="114">
        <v>28.9</v>
      </c>
      <c r="I58" s="114">
        <v>48.93</v>
      </c>
      <c r="J58" s="114">
        <v>15.55</v>
      </c>
      <c r="K58" s="114">
        <v>65.09</v>
      </c>
      <c r="L58" s="115">
        <v>137.30000000000001</v>
      </c>
      <c r="M58" s="112">
        <v>271.5</v>
      </c>
      <c r="N58" s="114">
        <v>57.14</v>
      </c>
      <c r="O58" s="115">
        <v>19</v>
      </c>
      <c r="P58" s="115">
        <v>96.85</v>
      </c>
      <c r="Q58" s="112">
        <v>42</v>
      </c>
      <c r="R58" s="112">
        <v>91.96</v>
      </c>
      <c r="S58" s="114">
        <v>124.4</v>
      </c>
      <c r="T58" s="114">
        <v>21.67</v>
      </c>
      <c r="U58" s="112">
        <v>209.5</v>
      </c>
      <c r="V58" s="114">
        <v>32.270000000000003</v>
      </c>
      <c r="W58" s="116">
        <v>69.040000000000006</v>
      </c>
      <c r="X58" s="114">
        <v>9.5500000000000007</v>
      </c>
      <c r="Y58" s="114">
        <v>63.92</v>
      </c>
      <c r="Z58" s="112">
        <v>128.22</v>
      </c>
      <c r="AA58" s="114">
        <v>5.39</v>
      </c>
      <c r="AB58" s="112">
        <v>58.65</v>
      </c>
      <c r="AC58" s="112">
        <v>221.31</v>
      </c>
      <c r="AD58" s="114">
        <v>12.83</v>
      </c>
      <c r="AE58" s="117">
        <v>38.1</v>
      </c>
      <c r="AF58" s="118">
        <v>12398.8</v>
      </c>
    </row>
    <row r="59" spans="1:32" s="1" customFormat="1" ht="12.5" x14ac:dyDescent="0.25">
      <c r="A59" s="126">
        <v>43647</v>
      </c>
      <c r="B59" s="112">
        <v>85.05</v>
      </c>
      <c r="C59" s="112">
        <v>150.94</v>
      </c>
      <c r="D59" s="113">
        <v>7.19</v>
      </c>
      <c r="E59" s="114">
        <v>111.72</v>
      </c>
      <c r="F59" s="112">
        <v>210.4</v>
      </c>
      <c r="G59" s="112">
        <v>89.24</v>
      </c>
      <c r="H59" s="114">
        <v>29.51</v>
      </c>
      <c r="I59" s="114">
        <v>46.9</v>
      </c>
      <c r="J59" s="114">
        <v>17.02</v>
      </c>
      <c r="K59" s="114">
        <v>66.83</v>
      </c>
      <c r="L59" s="115">
        <v>143</v>
      </c>
      <c r="M59" s="112">
        <v>289.55</v>
      </c>
      <c r="N59" s="114">
        <v>59.68</v>
      </c>
      <c r="O59" s="115">
        <v>18.899999999999999</v>
      </c>
      <c r="P59" s="115">
        <v>94.8</v>
      </c>
      <c r="Q59" s="112">
        <v>44.26</v>
      </c>
      <c r="R59" s="112">
        <v>92.44</v>
      </c>
      <c r="S59" s="114">
        <v>126.3</v>
      </c>
      <c r="T59" s="114">
        <v>24.46</v>
      </c>
      <c r="U59" s="112">
        <v>226.5</v>
      </c>
      <c r="V59" s="114">
        <v>33.22</v>
      </c>
      <c r="W59" s="116">
        <v>62.9</v>
      </c>
      <c r="X59" s="114">
        <v>9.0500000000000007</v>
      </c>
      <c r="Y59" s="114">
        <v>60.53</v>
      </c>
      <c r="Z59" s="112">
        <v>125.24</v>
      </c>
      <c r="AA59" s="114">
        <v>5.77</v>
      </c>
      <c r="AB59" s="112">
        <v>63.25</v>
      </c>
      <c r="AC59" s="112">
        <v>217.76</v>
      </c>
      <c r="AD59" s="114">
        <v>11.69</v>
      </c>
      <c r="AE59" s="117">
        <v>38.08</v>
      </c>
      <c r="AF59" s="118">
        <v>12189.04</v>
      </c>
    </row>
    <row r="60" spans="1:32" s="1" customFormat="1" ht="12.5" x14ac:dyDescent="0.25">
      <c r="A60" s="126">
        <v>43678</v>
      </c>
      <c r="B60" s="112">
        <v>84.05</v>
      </c>
      <c r="C60" s="112">
        <v>146.1</v>
      </c>
      <c r="D60" s="113">
        <v>8.17</v>
      </c>
      <c r="E60" s="114">
        <v>108.6</v>
      </c>
      <c r="F60" s="112">
        <v>200.5</v>
      </c>
      <c r="G60" s="112">
        <v>81.99</v>
      </c>
      <c r="H60" s="114">
        <v>29.9</v>
      </c>
      <c r="I60" s="114">
        <v>42.71</v>
      </c>
      <c r="J60" s="114">
        <v>15.75</v>
      </c>
      <c r="K60" s="114">
        <v>60.81</v>
      </c>
      <c r="L60" s="115">
        <v>135.9</v>
      </c>
      <c r="M60" s="112">
        <v>269.7</v>
      </c>
      <c r="N60" s="114">
        <v>57.06</v>
      </c>
      <c r="O60" s="115">
        <v>17.399999999999999</v>
      </c>
      <c r="P60" s="115">
        <v>91</v>
      </c>
      <c r="Q60" s="112">
        <v>45.3</v>
      </c>
      <c r="R60" s="112">
        <v>97.26</v>
      </c>
      <c r="S60" s="114">
        <v>133.75</v>
      </c>
      <c r="T60" s="114">
        <v>25.91</v>
      </c>
      <c r="U60" s="112">
        <v>248.3</v>
      </c>
      <c r="V60" s="114">
        <v>32.26</v>
      </c>
      <c r="W60" s="116">
        <v>61.2</v>
      </c>
      <c r="X60" s="114">
        <v>8.4600000000000009</v>
      </c>
      <c r="Y60" s="114">
        <v>60.18</v>
      </c>
      <c r="Z60" s="112">
        <v>109.76</v>
      </c>
      <c r="AA60" s="114">
        <v>4.6500000000000004</v>
      </c>
      <c r="AB60" s="112">
        <v>69.05</v>
      </c>
      <c r="AC60" s="112">
        <v>217.9</v>
      </c>
      <c r="AD60" s="114">
        <v>11.12</v>
      </c>
      <c r="AE60" s="117">
        <v>37.68</v>
      </c>
      <c r="AF60" s="118">
        <v>11939.28</v>
      </c>
    </row>
    <row r="61" spans="1:32" s="1" customFormat="1" ht="12.5" x14ac:dyDescent="0.25">
      <c r="A61" s="126">
        <v>43709</v>
      </c>
      <c r="B61" s="112">
        <v>84</v>
      </c>
      <c r="C61" s="112">
        <v>156.06</v>
      </c>
      <c r="D61" s="113">
        <v>8.4700000000000006</v>
      </c>
      <c r="E61" s="114">
        <v>107.88</v>
      </c>
      <c r="F61" s="112">
        <v>213.85</v>
      </c>
      <c r="G61" s="112">
        <v>88.57</v>
      </c>
      <c r="H61" s="114">
        <v>30.65</v>
      </c>
      <c r="I61" s="114">
        <v>45.62</v>
      </c>
      <c r="J61" s="114">
        <v>16.510000000000002</v>
      </c>
      <c r="K61" s="114">
        <v>64.59</v>
      </c>
      <c r="L61" s="115">
        <v>128.1</v>
      </c>
      <c r="M61" s="112">
        <v>285.64999999999998</v>
      </c>
      <c r="N61" s="114">
        <v>59.7</v>
      </c>
      <c r="O61" s="115">
        <v>22.4</v>
      </c>
      <c r="P61" s="115">
        <v>90.55</v>
      </c>
      <c r="Q61" s="112">
        <v>46.55</v>
      </c>
      <c r="R61" s="112">
        <v>103.35</v>
      </c>
      <c r="S61" s="114">
        <v>143.4</v>
      </c>
      <c r="T61" s="114">
        <v>28.69</v>
      </c>
      <c r="U61" s="112">
        <v>243.8</v>
      </c>
      <c r="V61" s="114">
        <v>33.49</v>
      </c>
      <c r="W61" s="116">
        <v>61.7</v>
      </c>
      <c r="X61" s="114">
        <v>8.92</v>
      </c>
      <c r="Y61" s="114">
        <v>64.12</v>
      </c>
      <c r="Z61" s="112">
        <v>117.7</v>
      </c>
      <c r="AA61" s="114">
        <v>4.97</v>
      </c>
      <c r="AB61" s="112">
        <v>71</v>
      </c>
      <c r="AC61" s="112">
        <v>237.48</v>
      </c>
      <c r="AD61" s="114">
        <v>12.71</v>
      </c>
      <c r="AE61" s="117">
        <v>39.64</v>
      </c>
      <c r="AF61" s="118">
        <v>12428.08</v>
      </c>
    </row>
    <row r="62" spans="1:32" s="1" customFormat="1" ht="12.5" x14ac:dyDescent="0.25">
      <c r="A62" s="126">
        <v>43739</v>
      </c>
      <c r="B62" s="112">
        <v>86.35</v>
      </c>
      <c r="C62" s="112">
        <v>170.7</v>
      </c>
      <c r="D62" s="113">
        <v>9.0399999999999991</v>
      </c>
      <c r="E62" s="114">
        <v>118.8</v>
      </c>
      <c r="F62" s="112">
        <v>219</v>
      </c>
      <c r="G62" s="112">
        <v>93.19</v>
      </c>
      <c r="H62" s="114">
        <v>31.75</v>
      </c>
      <c r="I62" s="114">
        <v>52.41</v>
      </c>
      <c r="J62" s="114">
        <v>17.38</v>
      </c>
      <c r="K62" s="114">
        <v>68.709999999999994</v>
      </c>
      <c r="L62" s="115">
        <v>135.4</v>
      </c>
      <c r="M62" s="112">
        <v>276.85000000000002</v>
      </c>
      <c r="N62" s="114">
        <v>66</v>
      </c>
      <c r="O62" s="115">
        <v>23.2</v>
      </c>
      <c r="P62" s="115">
        <v>101.8</v>
      </c>
      <c r="Q62" s="112">
        <v>47.71</v>
      </c>
      <c r="R62" s="112">
        <v>106.9</v>
      </c>
      <c r="S62" s="114">
        <v>138.94999999999999</v>
      </c>
      <c r="T62" s="114">
        <v>27.33</v>
      </c>
      <c r="U62" s="112">
        <v>239.4</v>
      </c>
      <c r="V62" s="114">
        <v>33.72</v>
      </c>
      <c r="W62" s="116">
        <v>64.88</v>
      </c>
      <c r="X62" s="114">
        <v>9.0399999999999991</v>
      </c>
      <c r="Y62" s="114">
        <v>68.23</v>
      </c>
      <c r="Z62" s="112">
        <v>119.88</v>
      </c>
      <c r="AA62" s="114">
        <v>4.53</v>
      </c>
      <c r="AB62" s="112">
        <v>67.45</v>
      </c>
      <c r="AC62" s="112">
        <v>249.76</v>
      </c>
      <c r="AD62" s="114">
        <v>12.8</v>
      </c>
      <c r="AE62" s="117">
        <v>41.3</v>
      </c>
      <c r="AF62" s="118">
        <v>12866.79</v>
      </c>
    </row>
    <row r="63" spans="1:32" s="1" customFormat="1" ht="12.5" x14ac:dyDescent="0.25">
      <c r="A63" s="126">
        <v>43770</v>
      </c>
      <c r="B63" s="112">
        <v>87.8</v>
      </c>
      <c r="C63" s="112">
        <v>175.48</v>
      </c>
      <c r="D63" s="113">
        <v>10.48</v>
      </c>
      <c r="E63" s="114">
        <v>123.48</v>
      </c>
      <c r="F63" s="112">
        <v>217.35</v>
      </c>
      <c r="G63" s="112">
        <v>105.58</v>
      </c>
      <c r="H63" s="114">
        <v>33.840000000000003</v>
      </c>
      <c r="I63" s="114">
        <v>51.2</v>
      </c>
      <c r="J63" s="114">
        <v>19.39</v>
      </c>
      <c r="K63" s="114">
        <v>73.3</v>
      </c>
      <c r="L63" s="115">
        <v>142</v>
      </c>
      <c r="M63" s="112">
        <v>282.75</v>
      </c>
      <c r="N63" s="114">
        <v>67.180000000000007</v>
      </c>
      <c r="O63" s="115">
        <v>25.3</v>
      </c>
      <c r="P63" s="115">
        <v>104.7</v>
      </c>
      <c r="Q63" s="112">
        <v>47.29</v>
      </c>
      <c r="R63" s="112">
        <v>106</v>
      </c>
      <c r="S63" s="114">
        <v>139.25</v>
      </c>
      <c r="T63" s="114">
        <v>26.91</v>
      </c>
      <c r="U63" s="112">
        <v>245.9</v>
      </c>
      <c r="V63" s="114">
        <v>35.450000000000003</v>
      </c>
      <c r="W63" s="116">
        <v>66.56</v>
      </c>
      <c r="X63" s="114">
        <v>9.5</v>
      </c>
      <c r="Y63" s="114">
        <v>68.22</v>
      </c>
      <c r="Z63" s="112">
        <v>118.6</v>
      </c>
      <c r="AA63" s="114">
        <v>4.37</v>
      </c>
      <c r="AB63" s="112">
        <v>68.2</v>
      </c>
      <c r="AC63" s="112">
        <v>260.5</v>
      </c>
      <c r="AD63" s="114">
        <v>11.38</v>
      </c>
      <c r="AE63" s="117">
        <v>43.26</v>
      </c>
      <c r="AF63" s="118">
        <v>13236.38</v>
      </c>
    </row>
    <row r="64" spans="1:32" s="1" customFormat="1" ht="12.5" x14ac:dyDescent="0.25">
      <c r="A64" s="126">
        <v>43800</v>
      </c>
      <c r="B64" s="112">
        <v>84</v>
      </c>
      <c r="C64" s="112">
        <v>176.24</v>
      </c>
      <c r="D64" s="113">
        <v>11.72</v>
      </c>
      <c r="E64" s="114">
        <v>120.32</v>
      </c>
      <c r="F64" s="112">
        <v>218.4</v>
      </c>
      <c r="G64" s="112">
        <v>105.06</v>
      </c>
      <c r="H64" s="114">
        <v>34.01</v>
      </c>
      <c r="I64" s="114">
        <v>49.37</v>
      </c>
      <c r="J64" s="114">
        <v>20.309999999999999</v>
      </c>
      <c r="K64" s="114">
        <v>73.14</v>
      </c>
      <c r="L64" s="115">
        <v>147.6</v>
      </c>
      <c r="M64" s="112">
        <v>289.8</v>
      </c>
      <c r="N64" s="114">
        <v>66.64</v>
      </c>
      <c r="O64" s="115">
        <v>26.5</v>
      </c>
      <c r="P64" s="115">
        <v>97.6</v>
      </c>
      <c r="Q64" s="112">
        <v>48</v>
      </c>
      <c r="R64" s="112">
        <v>105.35</v>
      </c>
      <c r="S64" s="114">
        <v>140.15</v>
      </c>
      <c r="T64" s="114">
        <v>27.35</v>
      </c>
      <c r="U64" s="112">
        <v>254.6</v>
      </c>
      <c r="V64" s="114">
        <v>36.42</v>
      </c>
      <c r="W64" s="116">
        <v>65.959999999999994</v>
      </c>
      <c r="X64" s="114">
        <v>9.52</v>
      </c>
      <c r="Y64" s="114">
        <v>67.349999999999994</v>
      </c>
      <c r="Z64" s="112">
        <v>115.26</v>
      </c>
      <c r="AA64" s="114">
        <v>5.41</v>
      </c>
      <c r="AB64" s="112">
        <v>68.349999999999994</v>
      </c>
      <c r="AC64" s="112">
        <v>263.5</v>
      </c>
      <c r="AD64" s="114">
        <v>12.04</v>
      </c>
      <c r="AE64" s="117">
        <v>44.18</v>
      </c>
      <c r="AF64" s="118">
        <v>13249.01</v>
      </c>
    </row>
    <row r="65" spans="1:32" s="1" customFormat="1" ht="12.5" x14ac:dyDescent="0.25">
      <c r="A65" s="126">
        <v>43831</v>
      </c>
      <c r="B65" s="112">
        <v>83.5</v>
      </c>
      <c r="C65" s="112">
        <v>162.38</v>
      </c>
      <c r="D65" s="113">
        <v>12.8</v>
      </c>
      <c r="E65" s="114">
        <v>117.82</v>
      </c>
      <c r="F65" s="112">
        <v>215.85</v>
      </c>
      <c r="G65" s="112">
        <v>100.64</v>
      </c>
      <c r="H65" s="114">
        <v>31.58</v>
      </c>
      <c r="I65" s="114">
        <v>41.81</v>
      </c>
      <c r="J65" s="114">
        <v>19.579999999999998</v>
      </c>
      <c r="K65" s="114">
        <v>64.34</v>
      </c>
      <c r="L65" s="115">
        <v>166.1</v>
      </c>
      <c r="M65" s="112">
        <v>285.8</v>
      </c>
      <c r="N65" s="114">
        <v>61.14</v>
      </c>
      <c r="O65" s="115">
        <v>26.9</v>
      </c>
      <c r="P65" s="115">
        <v>87.35</v>
      </c>
      <c r="Q65" s="112">
        <v>51.54</v>
      </c>
      <c r="R65" s="112">
        <v>115.9</v>
      </c>
      <c r="S65" s="114">
        <v>147.05000000000001</v>
      </c>
      <c r="T65" s="114">
        <v>31.34</v>
      </c>
      <c r="U65" s="112">
        <v>274.39999999999998</v>
      </c>
      <c r="V65" s="114">
        <v>38.200000000000003</v>
      </c>
      <c r="W65" s="116">
        <v>69.7</v>
      </c>
      <c r="X65" s="114">
        <v>10.24</v>
      </c>
      <c r="Y65" s="114">
        <v>61.07</v>
      </c>
      <c r="Z65" s="112">
        <v>102.94</v>
      </c>
      <c r="AA65" s="114">
        <v>4.6900000000000004</v>
      </c>
      <c r="AB65" s="112">
        <v>72.400000000000006</v>
      </c>
      <c r="AC65" s="112">
        <v>266.68</v>
      </c>
      <c r="AD65" s="114">
        <v>11.17</v>
      </c>
      <c r="AE65" s="117">
        <v>45.08</v>
      </c>
      <c r="AF65" s="118">
        <v>12981.97</v>
      </c>
    </row>
    <row r="66" spans="1:32" s="1" customFormat="1" ht="12.5" x14ac:dyDescent="0.25">
      <c r="A66" s="126">
        <v>43862</v>
      </c>
      <c r="B66" s="112">
        <v>76.849999999999994</v>
      </c>
      <c r="C66" s="112">
        <v>148.58000000000001</v>
      </c>
      <c r="D66" s="113">
        <v>9.52</v>
      </c>
      <c r="E66" s="114">
        <v>111.56</v>
      </c>
      <c r="F66" s="112">
        <v>194.8</v>
      </c>
      <c r="G66" s="112">
        <v>84.02</v>
      </c>
      <c r="H66" s="114">
        <v>27.12</v>
      </c>
      <c r="I66" s="114">
        <v>37.54</v>
      </c>
      <c r="J66" s="114">
        <v>18.79</v>
      </c>
      <c r="K66" s="114">
        <v>58.93</v>
      </c>
      <c r="L66" s="115">
        <v>172.1</v>
      </c>
      <c r="M66" s="112">
        <v>250.55</v>
      </c>
      <c r="N66" s="114">
        <v>56.28</v>
      </c>
      <c r="O66" s="115">
        <v>24.7</v>
      </c>
      <c r="P66" s="115">
        <v>74.25</v>
      </c>
      <c r="Q66" s="112">
        <v>48.58</v>
      </c>
      <c r="R66" s="112">
        <v>109.05</v>
      </c>
      <c r="S66" s="114">
        <v>142.05000000000001</v>
      </c>
      <c r="T66" s="114">
        <v>31.16</v>
      </c>
      <c r="U66" s="112">
        <v>220.7</v>
      </c>
      <c r="V66" s="114">
        <v>36.46</v>
      </c>
      <c r="W66" s="116">
        <v>69.319999999999993</v>
      </c>
      <c r="X66" s="114">
        <v>10.43</v>
      </c>
      <c r="Y66" s="114">
        <v>53.08</v>
      </c>
      <c r="Z66" s="112">
        <v>101.62</v>
      </c>
      <c r="AA66" s="114">
        <v>4.3099999999999996</v>
      </c>
      <c r="AB66" s="112">
        <v>69.2</v>
      </c>
      <c r="AC66" s="112">
        <v>232.18</v>
      </c>
      <c r="AD66" s="114">
        <v>8.6999999999999993</v>
      </c>
      <c r="AE66" s="117">
        <v>40.22</v>
      </c>
      <c r="AF66" s="118">
        <v>11890.35</v>
      </c>
    </row>
    <row r="67" spans="1:32" s="1" customFormat="1" ht="12.5" x14ac:dyDescent="0.25">
      <c r="A67" s="126">
        <v>43891</v>
      </c>
      <c r="B67" s="112">
        <v>67.349999999999994</v>
      </c>
      <c r="C67" s="112">
        <v>106.84</v>
      </c>
      <c r="D67" s="113">
        <v>8.34</v>
      </c>
      <c r="E67" s="114">
        <v>102.8</v>
      </c>
      <c r="F67" s="112">
        <v>156.88</v>
      </c>
      <c r="G67" s="112">
        <v>69.84</v>
      </c>
      <c r="H67" s="114">
        <v>24.78</v>
      </c>
      <c r="I67" s="114">
        <v>27.52</v>
      </c>
      <c r="J67" s="114">
        <v>13.43</v>
      </c>
      <c r="K67" s="114">
        <v>47.12</v>
      </c>
      <c r="L67" s="115">
        <v>184.9</v>
      </c>
      <c r="M67" s="112">
        <v>205.9</v>
      </c>
      <c r="N67" s="114">
        <v>38.68</v>
      </c>
      <c r="O67" s="115">
        <v>23</v>
      </c>
      <c r="P67" s="115">
        <v>66.25</v>
      </c>
      <c r="Q67" s="112">
        <v>44.86</v>
      </c>
      <c r="R67" s="112">
        <v>93.62</v>
      </c>
      <c r="S67" s="114">
        <v>125</v>
      </c>
      <c r="T67" s="114">
        <v>23.96</v>
      </c>
      <c r="U67" s="112">
        <v>133.35</v>
      </c>
      <c r="V67" s="114">
        <v>34.71</v>
      </c>
      <c r="W67" s="116">
        <v>60.2</v>
      </c>
      <c r="X67" s="114">
        <v>9.44</v>
      </c>
      <c r="Y67" s="114">
        <v>43.15</v>
      </c>
      <c r="Z67" s="112">
        <v>65.61</v>
      </c>
      <c r="AA67" s="114">
        <v>1.99</v>
      </c>
      <c r="AB67" s="112">
        <v>54.4</v>
      </c>
      <c r="AC67" s="112">
        <v>184.89</v>
      </c>
      <c r="AD67" s="114">
        <v>4.7699999999999996</v>
      </c>
      <c r="AE67" s="117">
        <v>30.96</v>
      </c>
      <c r="AF67" s="118">
        <v>9935.84</v>
      </c>
    </row>
    <row r="68" spans="1:32" s="1" customFormat="1" ht="12.5" x14ac:dyDescent="0.25">
      <c r="A68" s="126">
        <v>43922</v>
      </c>
      <c r="B68" s="112">
        <v>71.099999999999994</v>
      </c>
      <c r="C68" s="112">
        <v>128.22</v>
      </c>
      <c r="D68" s="113">
        <v>8.32</v>
      </c>
      <c r="E68" s="114">
        <v>108.94</v>
      </c>
      <c r="F68" s="112">
        <v>168.88</v>
      </c>
      <c r="G68" s="112">
        <v>76.34</v>
      </c>
      <c r="H68" s="114">
        <v>27.15</v>
      </c>
      <c r="I68" s="114">
        <v>31.54</v>
      </c>
      <c r="J68" s="114">
        <v>16.95</v>
      </c>
      <c r="K68" s="114">
        <v>54.05</v>
      </c>
      <c r="L68" s="115">
        <v>219.4</v>
      </c>
      <c r="M68" s="112">
        <v>209.2</v>
      </c>
      <c r="N68" s="114">
        <v>46.03</v>
      </c>
      <c r="O68" s="115">
        <v>25</v>
      </c>
      <c r="P68" s="115">
        <v>85.1</v>
      </c>
      <c r="Q68" s="112">
        <v>45.05</v>
      </c>
      <c r="R68" s="112">
        <v>106.1</v>
      </c>
      <c r="S68" s="114">
        <v>141.75</v>
      </c>
      <c r="T68" s="114">
        <v>26.24</v>
      </c>
      <c r="U68" s="112">
        <v>124.3</v>
      </c>
      <c r="V68" s="114">
        <v>37</v>
      </c>
      <c r="W68" s="116">
        <v>71.66</v>
      </c>
      <c r="X68" s="114">
        <v>9.15</v>
      </c>
      <c r="Y68" s="114">
        <v>46.69</v>
      </c>
      <c r="Z68" s="112">
        <v>77.2</v>
      </c>
      <c r="AA68" s="114">
        <v>2.33</v>
      </c>
      <c r="AB68" s="112">
        <v>57.38</v>
      </c>
      <c r="AC68" s="112">
        <v>203.86</v>
      </c>
      <c r="AD68" s="114">
        <v>6.08</v>
      </c>
      <c r="AE68" s="117">
        <v>32.58</v>
      </c>
      <c r="AF68" s="118">
        <v>10861.64</v>
      </c>
    </row>
    <row r="69" spans="1:32" s="1" customFormat="1" ht="12.5" x14ac:dyDescent="0.25">
      <c r="A69" s="126">
        <v>43952</v>
      </c>
      <c r="B69" s="112">
        <v>72.05</v>
      </c>
      <c r="C69" s="112">
        <v>132.5</v>
      </c>
      <c r="D69" s="113">
        <v>8.89</v>
      </c>
      <c r="E69" s="114">
        <v>113.5</v>
      </c>
      <c r="F69" s="112">
        <v>162.82</v>
      </c>
      <c r="G69" s="112">
        <v>88.82</v>
      </c>
      <c r="H69" s="114">
        <v>27.98</v>
      </c>
      <c r="I69" s="114">
        <v>33.380000000000003</v>
      </c>
      <c r="J69" s="114">
        <v>18.86</v>
      </c>
      <c r="K69" s="114">
        <v>52.6</v>
      </c>
      <c r="L69" s="115">
        <v>238</v>
      </c>
      <c r="M69" s="112">
        <v>237.2</v>
      </c>
      <c r="N69" s="114">
        <v>48.91</v>
      </c>
      <c r="O69" s="115">
        <v>24.2</v>
      </c>
      <c r="P69" s="115">
        <v>89.55</v>
      </c>
      <c r="Q69" s="112">
        <v>51.78</v>
      </c>
      <c r="R69" s="112">
        <v>103.15</v>
      </c>
      <c r="S69" s="114">
        <v>147.9</v>
      </c>
      <c r="T69" s="114">
        <v>29.79</v>
      </c>
      <c r="U69" s="112">
        <v>144.9</v>
      </c>
      <c r="V69" s="114">
        <v>40.22</v>
      </c>
      <c r="W69" s="116">
        <v>75.599999999999994</v>
      </c>
      <c r="X69" s="114">
        <v>9.51</v>
      </c>
      <c r="Y69" s="114">
        <v>48.65</v>
      </c>
      <c r="Z69" s="112">
        <v>88.44</v>
      </c>
      <c r="AA69" s="114">
        <v>2.65</v>
      </c>
      <c r="AB69" s="112">
        <v>64.180000000000007</v>
      </c>
      <c r="AC69" s="112">
        <v>204.59</v>
      </c>
      <c r="AD69" s="114">
        <v>6.06</v>
      </c>
      <c r="AE69" s="117">
        <v>31.64</v>
      </c>
      <c r="AF69" s="118">
        <v>11586.85</v>
      </c>
    </row>
    <row r="70" spans="1:32" s="1" customFormat="1" ht="12.5" x14ac:dyDescent="0.25">
      <c r="A70" s="126">
        <v>43983</v>
      </c>
      <c r="B70" s="112">
        <v>74.150000000000006</v>
      </c>
      <c r="C70" s="112">
        <v>134.94</v>
      </c>
      <c r="D70" s="113">
        <v>9.3000000000000007</v>
      </c>
      <c r="E70" s="114">
        <v>124.32</v>
      </c>
      <c r="F70" s="112">
        <v>181.76</v>
      </c>
      <c r="G70" s="112">
        <v>94.44</v>
      </c>
      <c r="H70" s="114">
        <v>32.549999999999997</v>
      </c>
      <c r="I70" s="114">
        <v>36.15</v>
      </c>
      <c r="J70" s="114">
        <v>20.88</v>
      </c>
      <c r="K70" s="114">
        <v>56.82</v>
      </c>
      <c r="L70" s="115">
        <v>216.4</v>
      </c>
      <c r="M70" s="112">
        <v>233.6</v>
      </c>
      <c r="N70" s="114">
        <v>51.16</v>
      </c>
      <c r="O70" s="115">
        <v>28.2</v>
      </c>
      <c r="P70" s="115">
        <v>96.7</v>
      </c>
      <c r="Q70" s="112">
        <v>54.58</v>
      </c>
      <c r="R70" s="112">
        <v>103.3</v>
      </c>
      <c r="S70" s="114">
        <v>161.05000000000001</v>
      </c>
      <c r="T70" s="114">
        <v>31.11</v>
      </c>
      <c r="U70" s="112">
        <v>154.15</v>
      </c>
      <c r="V70" s="114">
        <v>39.950000000000003</v>
      </c>
      <c r="W70" s="116">
        <v>76.3</v>
      </c>
      <c r="X70" s="114">
        <v>10.02</v>
      </c>
      <c r="Y70" s="114">
        <v>49.88</v>
      </c>
      <c r="Z70" s="112">
        <v>87.16</v>
      </c>
      <c r="AA70" s="114">
        <v>3.09</v>
      </c>
      <c r="AB70" s="112">
        <v>68.819999999999993</v>
      </c>
      <c r="AC70" s="112">
        <v>229.41</v>
      </c>
      <c r="AD70" s="114">
        <v>6.31</v>
      </c>
      <c r="AE70" s="117">
        <v>33.08</v>
      </c>
      <c r="AF70" s="118">
        <v>12310.93</v>
      </c>
    </row>
    <row r="71" spans="1:32" s="1" customFormat="1" ht="12.5" x14ac:dyDescent="0.25">
      <c r="A71" s="126">
        <v>44013</v>
      </c>
      <c r="B71" s="112">
        <v>73.650000000000006</v>
      </c>
      <c r="C71" s="112">
        <v>125</v>
      </c>
      <c r="D71" s="113">
        <v>10.56</v>
      </c>
      <c r="E71" s="114">
        <v>133.78</v>
      </c>
      <c r="F71" s="112">
        <v>176.22</v>
      </c>
      <c r="G71" s="112">
        <v>97.65</v>
      </c>
      <c r="H71" s="114">
        <v>34.26</v>
      </c>
      <c r="I71" s="114">
        <v>37.4</v>
      </c>
      <c r="J71" s="114">
        <v>21.13</v>
      </c>
      <c r="K71" s="114">
        <v>54.7</v>
      </c>
      <c r="L71" s="115">
        <v>262.60000000000002</v>
      </c>
      <c r="M71" s="112">
        <v>233.9</v>
      </c>
      <c r="N71" s="114">
        <v>48.09</v>
      </c>
      <c r="O71" s="115">
        <v>26.7</v>
      </c>
      <c r="P71" s="115">
        <v>96.45</v>
      </c>
      <c r="Q71" s="112">
        <v>55.18</v>
      </c>
      <c r="R71" s="112">
        <v>108.05</v>
      </c>
      <c r="S71" s="114">
        <v>154.6</v>
      </c>
      <c r="T71" s="114">
        <v>31.98</v>
      </c>
      <c r="U71" s="112">
        <v>146.85</v>
      </c>
      <c r="V71" s="114">
        <v>41.2</v>
      </c>
      <c r="W71" s="116">
        <v>74.62</v>
      </c>
      <c r="X71" s="114">
        <v>9.94</v>
      </c>
      <c r="Y71" s="114">
        <v>46.81</v>
      </c>
      <c r="Z71" s="112">
        <v>82.56</v>
      </c>
      <c r="AA71" s="114">
        <v>3.05</v>
      </c>
      <c r="AB71" s="112">
        <v>65.84</v>
      </c>
      <c r="AC71" s="112">
        <v>226.8</v>
      </c>
      <c r="AD71" s="114">
        <v>6.57</v>
      </c>
      <c r="AE71" s="117">
        <v>30.94</v>
      </c>
      <c r="AF71" s="118">
        <v>12313.36</v>
      </c>
    </row>
    <row r="72" spans="1:32" s="1" customFormat="1" ht="12.5" x14ac:dyDescent="0.25">
      <c r="A72" s="126">
        <v>44044</v>
      </c>
      <c r="B72" s="112">
        <v>75.25</v>
      </c>
      <c r="C72" s="112">
        <v>139.34</v>
      </c>
      <c r="D72" s="113">
        <v>14.4</v>
      </c>
      <c r="E72" s="114">
        <v>138.04</v>
      </c>
      <c r="F72" s="112">
        <v>181.52</v>
      </c>
      <c r="G72" s="112">
        <v>104.26</v>
      </c>
      <c r="H72" s="114">
        <v>38.119999999999997</v>
      </c>
      <c r="I72" s="114">
        <v>42.65</v>
      </c>
      <c r="J72" s="114">
        <v>23.16</v>
      </c>
      <c r="K72" s="114">
        <v>60.15</v>
      </c>
      <c r="L72" s="115">
        <v>305.2</v>
      </c>
      <c r="M72" s="112">
        <v>254.6</v>
      </c>
      <c r="N72" s="114">
        <v>51.3</v>
      </c>
      <c r="O72" s="115">
        <v>36.6</v>
      </c>
      <c r="P72" s="115">
        <v>110.8</v>
      </c>
      <c r="Q72" s="112">
        <v>60</v>
      </c>
      <c r="R72" s="112">
        <v>113.65</v>
      </c>
      <c r="S72" s="114">
        <v>158.4</v>
      </c>
      <c r="T72" s="114">
        <v>33.299999999999997</v>
      </c>
      <c r="U72" s="112">
        <v>155.25</v>
      </c>
      <c r="V72" s="114">
        <v>44.64</v>
      </c>
      <c r="W72" s="116">
        <v>71.06</v>
      </c>
      <c r="X72" s="114">
        <v>9.91</v>
      </c>
      <c r="Y72" s="114">
        <v>51.06</v>
      </c>
      <c r="Z72" s="112">
        <v>91.2</v>
      </c>
      <c r="AA72" s="114">
        <v>3.87</v>
      </c>
      <c r="AB72" s="112">
        <v>69.180000000000007</v>
      </c>
      <c r="AC72" s="112">
        <v>248.22</v>
      </c>
      <c r="AD72" s="114">
        <v>6.02</v>
      </c>
      <c r="AE72" s="117">
        <v>31.14</v>
      </c>
      <c r="AF72" s="118">
        <v>12945.38</v>
      </c>
    </row>
    <row r="73" spans="1:32" s="1" customFormat="1" ht="12.5" x14ac:dyDescent="0.25">
      <c r="A73" s="126">
        <v>44075</v>
      </c>
      <c r="B73" s="112">
        <v>79.900000000000006</v>
      </c>
      <c r="C73" s="112">
        <v>137.4</v>
      </c>
      <c r="D73" s="113">
        <v>18.66</v>
      </c>
      <c r="E73" s="114">
        <v>132.76</v>
      </c>
      <c r="F73" s="112">
        <v>163.62</v>
      </c>
      <c r="G73" s="112">
        <v>107.88</v>
      </c>
      <c r="H73" s="114">
        <v>38.9</v>
      </c>
      <c r="I73" s="114">
        <v>46.04</v>
      </c>
      <c r="J73" s="114">
        <v>24.12</v>
      </c>
      <c r="K73" s="114">
        <v>61.99</v>
      </c>
      <c r="L73" s="115">
        <v>290</v>
      </c>
      <c r="M73" s="112">
        <v>276.10000000000002</v>
      </c>
      <c r="N73" s="114">
        <v>50.9</v>
      </c>
      <c r="O73" s="115">
        <v>37.799999999999997</v>
      </c>
      <c r="P73" s="115">
        <v>123.2</v>
      </c>
      <c r="Q73" s="112">
        <v>58.58</v>
      </c>
      <c r="R73" s="112">
        <v>124.55</v>
      </c>
      <c r="S73" s="114">
        <v>149.80000000000001</v>
      </c>
      <c r="T73" s="114">
        <v>31.98</v>
      </c>
      <c r="U73" s="112">
        <v>142</v>
      </c>
      <c r="V73" s="114">
        <v>42.69</v>
      </c>
      <c r="W73" s="116">
        <v>72.02</v>
      </c>
      <c r="X73" s="114">
        <v>9.43</v>
      </c>
      <c r="Y73" s="114">
        <v>51.98</v>
      </c>
      <c r="Z73" s="112">
        <v>92.48</v>
      </c>
      <c r="AA73" s="114">
        <v>4.21</v>
      </c>
      <c r="AB73" s="112">
        <v>76.86</v>
      </c>
      <c r="AC73" s="112">
        <v>218.98</v>
      </c>
      <c r="AD73" s="114">
        <v>4.3099999999999996</v>
      </c>
      <c r="AE73" s="117">
        <v>27.52</v>
      </c>
      <c r="AF73" s="118">
        <v>12760.73</v>
      </c>
    </row>
    <row r="74" spans="1:32" s="1" customFormat="1" ht="12.5" x14ac:dyDescent="0.25">
      <c r="A74" s="126">
        <v>44105</v>
      </c>
      <c r="B74" s="112">
        <v>77.650000000000006</v>
      </c>
      <c r="C74" s="112">
        <v>125.1</v>
      </c>
      <c r="D74" s="113">
        <v>18.36</v>
      </c>
      <c r="E74" s="114">
        <v>91.49</v>
      </c>
      <c r="F74" s="112">
        <v>151.06</v>
      </c>
      <c r="G74" s="112">
        <v>100.7</v>
      </c>
      <c r="H74" s="114">
        <v>38.04</v>
      </c>
      <c r="I74" s="114">
        <v>44.4</v>
      </c>
      <c r="J74" s="114">
        <v>23.9</v>
      </c>
      <c r="K74" s="114">
        <v>58.68</v>
      </c>
      <c r="L74" s="115">
        <v>327.39999999999998</v>
      </c>
      <c r="M74" s="112">
        <v>255</v>
      </c>
      <c r="N74" s="114">
        <v>46</v>
      </c>
      <c r="O74" s="115">
        <v>40</v>
      </c>
      <c r="P74" s="115">
        <v>121.7</v>
      </c>
      <c r="Q74" s="112">
        <v>54.82</v>
      </c>
      <c r="R74" s="112">
        <v>127.15</v>
      </c>
      <c r="S74" s="114">
        <v>126.35</v>
      </c>
      <c r="T74" s="114">
        <v>31.79</v>
      </c>
      <c r="U74" s="112">
        <v>146.55000000000001</v>
      </c>
      <c r="V74" s="114">
        <v>43.33</v>
      </c>
      <c r="W74" s="116">
        <v>65.58</v>
      </c>
      <c r="X74" s="114">
        <v>8.9499999999999993</v>
      </c>
      <c r="Y74" s="114">
        <v>47.07</v>
      </c>
      <c r="Z74" s="112">
        <v>91.28</v>
      </c>
      <c r="AA74" s="114">
        <v>3.8</v>
      </c>
      <c r="AB74" s="112">
        <v>75.040000000000006</v>
      </c>
      <c r="AC74" s="112">
        <v>201.94</v>
      </c>
      <c r="AD74" s="114">
        <v>4.0999999999999996</v>
      </c>
      <c r="AE74" s="117">
        <v>25.28</v>
      </c>
      <c r="AF74" s="118">
        <v>11556.48</v>
      </c>
    </row>
    <row r="75" spans="1:32" s="1" customFormat="1" ht="12.5" x14ac:dyDescent="0.25">
      <c r="A75" s="126">
        <v>44136</v>
      </c>
      <c r="B75" s="112">
        <v>80.900000000000006</v>
      </c>
      <c r="C75" s="112">
        <v>141.34</v>
      </c>
      <c r="D75" s="113">
        <v>26</v>
      </c>
      <c r="E75" s="114">
        <v>101.98</v>
      </c>
      <c r="F75" s="112">
        <v>197.66</v>
      </c>
      <c r="G75" s="112">
        <v>112</v>
      </c>
      <c r="H75" s="114">
        <v>40.5</v>
      </c>
      <c r="I75" s="114">
        <v>56.45</v>
      </c>
      <c r="J75" s="114">
        <v>29.52</v>
      </c>
      <c r="K75" s="114">
        <v>73.040000000000006</v>
      </c>
      <c r="L75" s="115">
        <v>306.8</v>
      </c>
      <c r="M75" s="112">
        <v>267.3</v>
      </c>
      <c r="N75" s="114">
        <v>53.3</v>
      </c>
      <c r="O75" s="115">
        <v>46.5</v>
      </c>
      <c r="P75" s="115">
        <v>147.69999999999999</v>
      </c>
      <c r="Q75" s="112">
        <v>57.48</v>
      </c>
      <c r="R75" s="112">
        <v>133.85</v>
      </c>
      <c r="S75" s="114">
        <v>139.75</v>
      </c>
      <c r="T75" s="114">
        <v>34.770000000000003</v>
      </c>
      <c r="U75" s="112">
        <v>197.95</v>
      </c>
      <c r="V75" s="114">
        <v>42.04</v>
      </c>
      <c r="W75" s="116">
        <v>70.5</v>
      </c>
      <c r="X75" s="114">
        <v>9.08</v>
      </c>
      <c r="Y75" s="114">
        <v>61.33</v>
      </c>
      <c r="Z75" s="112">
        <v>114.2</v>
      </c>
      <c r="AA75" s="114">
        <v>4.1399999999999997</v>
      </c>
      <c r="AB75" s="112">
        <v>83.36</v>
      </c>
      <c r="AC75" s="112">
        <v>236.72</v>
      </c>
      <c r="AD75" s="114">
        <v>5.6</v>
      </c>
      <c r="AE75" s="117">
        <v>30.94</v>
      </c>
      <c r="AF75" s="118">
        <v>13291.16</v>
      </c>
    </row>
    <row r="76" spans="1:32" s="1" customFormat="1" ht="12.5" x14ac:dyDescent="0.25">
      <c r="A76" s="126">
        <v>44166</v>
      </c>
      <c r="B76" s="112">
        <v>78.849999999999994</v>
      </c>
      <c r="C76" s="112">
        <v>152.41999999999999</v>
      </c>
      <c r="D76" s="113">
        <v>30.7</v>
      </c>
      <c r="E76" s="114">
        <v>107.22</v>
      </c>
      <c r="F76" s="112">
        <v>200.7</v>
      </c>
      <c r="G76" s="112">
        <v>117.52</v>
      </c>
      <c r="H76" s="114">
        <v>40.5</v>
      </c>
      <c r="I76" s="114">
        <v>57.79</v>
      </c>
      <c r="J76" s="114">
        <v>31.39</v>
      </c>
      <c r="K76" s="114">
        <v>72.23</v>
      </c>
      <c r="L76" s="115">
        <v>293.2</v>
      </c>
      <c r="M76" s="112">
        <v>297.89999999999998</v>
      </c>
      <c r="N76" s="114">
        <v>56.4</v>
      </c>
      <c r="O76" s="115">
        <v>47</v>
      </c>
      <c r="P76" s="115">
        <v>158.80000000000001</v>
      </c>
      <c r="Q76" s="112">
        <v>59.76</v>
      </c>
      <c r="R76" s="112">
        <v>140.35</v>
      </c>
      <c r="S76" s="114">
        <v>139.25</v>
      </c>
      <c r="T76" s="114">
        <v>34.57</v>
      </c>
      <c r="U76" s="112">
        <v>213.4</v>
      </c>
      <c r="V76" s="114">
        <v>43.69</v>
      </c>
      <c r="W76" s="116">
        <v>68.2</v>
      </c>
      <c r="X76" s="114">
        <v>9.06</v>
      </c>
      <c r="Y76" s="114">
        <v>64.72</v>
      </c>
      <c r="Z76" s="112">
        <v>121.25</v>
      </c>
      <c r="AA76" s="114">
        <v>5.67</v>
      </c>
      <c r="AB76" s="112">
        <v>92.28</v>
      </c>
      <c r="AC76" s="112">
        <v>244.38</v>
      </c>
      <c r="AD76" s="114">
        <v>8.1199999999999992</v>
      </c>
      <c r="AE76" s="117">
        <v>31.76</v>
      </c>
      <c r="AF76" s="118">
        <v>13718.78</v>
      </c>
    </row>
    <row r="77" spans="1:32" s="1" customFormat="1" ht="12.5" x14ac:dyDescent="0.25">
      <c r="A77" s="126">
        <v>44197</v>
      </c>
      <c r="B77" s="112">
        <v>77.2</v>
      </c>
      <c r="C77" s="112">
        <v>156.44</v>
      </c>
      <c r="D77" s="113">
        <v>41.75</v>
      </c>
      <c r="E77" s="114">
        <v>104.8</v>
      </c>
      <c r="F77" s="112">
        <v>186.52</v>
      </c>
      <c r="G77" s="112">
        <v>127.94</v>
      </c>
      <c r="H77" s="114">
        <v>40.81</v>
      </c>
      <c r="I77" s="114">
        <v>58.12</v>
      </c>
      <c r="J77" s="114">
        <v>33.130000000000003</v>
      </c>
      <c r="K77" s="114">
        <v>70.010000000000005</v>
      </c>
      <c r="L77" s="115">
        <v>339</v>
      </c>
      <c r="M77" s="112">
        <v>262</v>
      </c>
      <c r="N77" s="114">
        <v>57.5</v>
      </c>
      <c r="O77" s="115">
        <v>45.8</v>
      </c>
      <c r="P77" s="115">
        <v>164.2</v>
      </c>
      <c r="Q77" s="112">
        <v>55.14</v>
      </c>
      <c r="R77" s="112">
        <v>137.69999999999999</v>
      </c>
      <c r="S77" s="114">
        <v>132.6</v>
      </c>
      <c r="T77" s="114">
        <v>35.46</v>
      </c>
      <c r="U77" s="112">
        <v>192</v>
      </c>
      <c r="V77" s="114">
        <v>40.880000000000003</v>
      </c>
      <c r="W77" s="116">
        <v>66.8</v>
      </c>
      <c r="X77" s="114">
        <v>8.73</v>
      </c>
      <c r="Y77" s="114">
        <v>63.83</v>
      </c>
      <c r="Z77" s="112">
        <v>115.75</v>
      </c>
      <c r="AA77" s="114">
        <v>5.31</v>
      </c>
      <c r="AB77" s="112">
        <v>80.78</v>
      </c>
      <c r="AC77" s="112">
        <v>222</v>
      </c>
      <c r="AD77" s="114">
        <v>9.61</v>
      </c>
      <c r="AE77" s="117">
        <v>30.8</v>
      </c>
      <c r="AF77" s="118">
        <v>13432.87</v>
      </c>
    </row>
    <row r="78" spans="1:32" s="1" customFormat="1" ht="12.5" x14ac:dyDescent="0.25">
      <c r="A78" s="126">
        <v>44228</v>
      </c>
      <c r="B78" s="112">
        <v>73.400000000000006</v>
      </c>
      <c r="C78" s="112">
        <v>173.02</v>
      </c>
      <c r="D78" s="113">
        <v>33.15</v>
      </c>
      <c r="E78" s="114">
        <v>102.06</v>
      </c>
      <c r="F78" s="112">
        <v>199.8</v>
      </c>
      <c r="G78" s="112">
        <v>127.98</v>
      </c>
      <c r="H78" s="114">
        <v>41.06</v>
      </c>
      <c r="I78" s="114">
        <v>66.25</v>
      </c>
      <c r="J78" s="114">
        <v>36</v>
      </c>
      <c r="K78" s="114">
        <v>71.5</v>
      </c>
      <c r="L78" s="115">
        <v>359.2</v>
      </c>
      <c r="M78" s="112">
        <v>288.89999999999998</v>
      </c>
      <c r="N78" s="114">
        <v>66.38</v>
      </c>
      <c r="O78" s="115">
        <v>44.4</v>
      </c>
      <c r="P78" s="115">
        <v>172</v>
      </c>
      <c r="Q78" s="112">
        <v>52.74</v>
      </c>
      <c r="R78" s="112">
        <v>134.55000000000001</v>
      </c>
      <c r="S78" s="114">
        <v>135.55000000000001</v>
      </c>
      <c r="T78" s="114">
        <v>31.34</v>
      </c>
      <c r="U78" s="112">
        <v>197</v>
      </c>
      <c r="V78" s="114">
        <v>38.950000000000003</v>
      </c>
      <c r="W78" s="116">
        <v>57.36</v>
      </c>
      <c r="X78" s="114">
        <v>8.4499999999999993</v>
      </c>
      <c r="Y78" s="114">
        <v>67.73</v>
      </c>
      <c r="Z78" s="112">
        <v>118.9</v>
      </c>
      <c r="AA78" s="114">
        <v>5.17</v>
      </c>
      <c r="AB78" s="112">
        <v>87.98</v>
      </c>
      <c r="AC78" s="112">
        <v>246.1</v>
      </c>
      <c r="AD78" s="114">
        <v>11.16</v>
      </c>
      <c r="AE78" s="117">
        <v>34.46</v>
      </c>
      <c r="AF78" s="118">
        <v>13786.29</v>
      </c>
    </row>
    <row r="79" spans="1:32" s="1" customFormat="1" ht="13" thickBot="1" x14ac:dyDescent="0.3">
      <c r="A79" s="128">
        <v>44256</v>
      </c>
      <c r="B79" s="119">
        <v>84.45</v>
      </c>
      <c r="C79" s="119">
        <v>238.6</v>
      </c>
      <c r="D79" s="120">
        <v>36.700000000000003</v>
      </c>
      <c r="E79" s="121">
        <v>104.42</v>
      </c>
      <c r="F79" s="119">
        <v>217.05</v>
      </c>
      <c r="G79" s="119">
        <v>140</v>
      </c>
      <c r="H79" s="121">
        <v>46.72</v>
      </c>
      <c r="I79" s="121">
        <v>76.010000000000005</v>
      </c>
      <c r="J79" s="121">
        <v>36.159999999999997</v>
      </c>
      <c r="K79" s="121">
        <v>88.47</v>
      </c>
      <c r="L79" s="122">
        <v>354</v>
      </c>
      <c r="M79" s="119">
        <v>266.2</v>
      </c>
      <c r="N79" s="114">
        <v>90.42</v>
      </c>
      <c r="O79" s="122">
        <v>40.4</v>
      </c>
      <c r="P79" s="122">
        <v>170</v>
      </c>
      <c r="Q79" s="119">
        <v>55.7</v>
      </c>
      <c r="R79" s="119">
        <v>145.80000000000001</v>
      </c>
      <c r="S79" s="121">
        <v>141.69999999999999</v>
      </c>
      <c r="T79" s="121">
        <v>33.42</v>
      </c>
      <c r="U79" s="119">
        <v>200.7</v>
      </c>
      <c r="V79" s="121">
        <v>39.78</v>
      </c>
      <c r="W79" s="123">
        <v>62.72</v>
      </c>
      <c r="X79" s="121">
        <v>9.92</v>
      </c>
      <c r="Y79" s="121">
        <v>70.84</v>
      </c>
      <c r="Z79" s="119">
        <v>112.7</v>
      </c>
      <c r="AA79" s="121">
        <v>4.93</v>
      </c>
      <c r="AB79" s="119">
        <v>83.54</v>
      </c>
      <c r="AC79" s="119">
        <v>263.18</v>
      </c>
      <c r="AD79" s="121">
        <v>11.39</v>
      </c>
      <c r="AE79" s="124">
        <v>36.159999999999997</v>
      </c>
      <c r="AF79" s="125">
        <v>15008.34</v>
      </c>
    </row>
  </sheetData>
  <mergeCells count="1">
    <mergeCell ref="A1:L1"/>
  </mergeCells>
  <hyperlinks>
    <hyperlink ref="P1" r:id="rId1" xr:uid="{E33D9A88-A70C-4252-AF63-C77D5752CCA4}"/>
  </hyperlinks>
  <pageMargins left="0.25" right="0.25" top="0.75" bottom="0.75" header="0.3" footer="0.3"/>
  <pageSetup paperSize="8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A669C-C5DD-438C-A7D3-3C780CB388C8}">
  <sheetPr codeName="Trang_tính2"/>
  <dimension ref="A1:AG160"/>
  <sheetViews>
    <sheetView topLeftCell="A77" zoomScale="72" zoomScaleNormal="72" zoomScaleSheetLayoutView="53" workbookViewId="0">
      <selection activeCell="A85" sqref="A85:N85"/>
    </sheetView>
  </sheetViews>
  <sheetFormatPr defaultRowHeight="14" x14ac:dyDescent="0.3"/>
  <cols>
    <col min="1" max="1" width="7.4140625" bestFit="1" customWidth="1"/>
    <col min="2" max="32" width="5.9140625" customWidth="1"/>
  </cols>
  <sheetData>
    <row r="1" spans="1:33" ht="16" thickBot="1" x14ac:dyDescent="0.4">
      <c r="A1" s="141" t="s">
        <v>142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3">
      <c r="A2" s="98"/>
      <c r="B2" s="99">
        <v>1</v>
      </c>
      <c r="C2" s="99">
        <v>2</v>
      </c>
      <c r="D2" s="99">
        <v>3</v>
      </c>
      <c r="E2" s="99">
        <v>4</v>
      </c>
      <c r="F2" s="99">
        <v>5</v>
      </c>
      <c r="G2" s="99">
        <v>6</v>
      </c>
      <c r="H2" s="99">
        <v>7</v>
      </c>
      <c r="I2" s="99">
        <v>8</v>
      </c>
      <c r="J2" s="99">
        <v>9</v>
      </c>
      <c r="K2" s="99">
        <v>10</v>
      </c>
      <c r="L2" s="99">
        <v>11</v>
      </c>
      <c r="M2" s="99">
        <v>12</v>
      </c>
      <c r="N2" s="99">
        <v>13</v>
      </c>
      <c r="O2" s="99">
        <v>14</v>
      </c>
      <c r="P2" s="99">
        <v>15</v>
      </c>
      <c r="Q2" s="99">
        <v>16</v>
      </c>
      <c r="R2" s="99">
        <v>17</v>
      </c>
      <c r="S2" s="99">
        <v>18</v>
      </c>
      <c r="T2" s="99">
        <v>19</v>
      </c>
      <c r="U2" s="99">
        <v>20</v>
      </c>
      <c r="V2" s="99">
        <v>21</v>
      </c>
      <c r="W2" s="99">
        <v>22</v>
      </c>
      <c r="X2" s="99">
        <v>23</v>
      </c>
      <c r="Y2" s="99">
        <v>24</v>
      </c>
      <c r="Z2" s="99">
        <v>25</v>
      </c>
      <c r="AA2" s="99">
        <v>26</v>
      </c>
      <c r="AB2" s="99">
        <v>27</v>
      </c>
      <c r="AC2" s="99">
        <v>28</v>
      </c>
      <c r="AD2" s="99">
        <v>29</v>
      </c>
      <c r="AE2" s="100">
        <v>30</v>
      </c>
      <c r="AF2" s="101">
        <v>31</v>
      </c>
      <c r="AG2" s="96"/>
    </row>
    <row r="3" spans="1:33" ht="60" x14ac:dyDescent="0.3">
      <c r="A3" s="102"/>
      <c r="B3" s="103" t="s">
        <v>19</v>
      </c>
      <c r="C3" s="104" t="s">
        <v>20</v>
      </c>
      <c r="D3" s="104" t="s">
        <v>0</v>
      </c>
      <c r="E3" s="104" t="s">
        <v>21</v>
      </c>
      <c r="F3" s="103" t="s">
        <v>22</v>
      </c>
      <c r="G3" s="104" t="s">
        <v>23</v>
      </c>
      <c r="H3" s="104" t="s">
        <v>24</v>
      </c>
      <c r="I3" s="103" t="s">
        <v>25</v>
      </c>
      <c r="J3" s="104" t="s">
        <v>2</v>
      </c>
      <c r="K3" s="104" t="s">
        <v>26</v>
      </c>
      <c r="L3" s="104" t="s">
        <v>1</v>
      </c>
      <c r="M3" s="104" t="s">
        <v>3</v>
      </c>
      <c r="N3" s="104" t="s">
        <v>27</v>
      </c>
      <c r="O3" s="105" t="s">
        <v>4</v>
      </c>
      <c r="P3" s="105" t="s">
        <v>7</v>
      </c>
      <c r="Q3" s="104" t="s">
        <v>28</v>
      </c>
      <c r="R3" s="104" t="s">
        <v>29</v>
      </c>
      <c r="S3" s="104" t="s">
        <v>30</v>
      </c>
      <c r="T3" s="104" t="s">
        <v>31</v>
      </c>
      <c r="U3" s="104" t="s">
        <v>5</v>
      </c>
      <c r="V3" s="104" t="s">
        <v>32</v>
      </c>
      <c r="W3" s="104" t="s">
        <v>33</v>
      </c>
      <c r="X3" s="104" t="s">
        <v>34</v>
      </c>
      <c r="Y3" s="104" t="s">
        <v>35</v>
      </c>
      <c r="Z3" s="104" t="s">
        <v>36</v>
      </c>
      <c r="AA3" s="104" t="s">
        <v>37</v>
      </c>
      <c r="AB3" s="104" t="s">
        <v>6</v>
      </c>
      <c r="AC3" s="104" t="s">
        <v>38</v>
      </c>
      <c r="AD3" s="104" t="s">
        <v>39</v>
      </c>
      <c r="AE3" s="106" t="s">
        <v>40</v>
      </c>
      <c r="AF3" s="107" t="s">
        <v>8</v>
      </c>
      <c r="AG3" s="96"/>
    </row>
    <row r="4" spans="1:33" ht="14.5" thickBot="1" x14ac:dyDescent="0.35">
      <c r="A4" s="108" t="s">
        <v>9</v>
      </c>
      <c r="B4" s="109" t="s">
        <v>41</v>
      </c>
      <c r="C4" s="109" t="s">
        <v>42</v>
      </c>
      <c r="D4" s="109" t="s">
        <v>10</v>
      </c>
      <c r="E4" s="109" t="s">
        <v>43</v>
      </c>
      <c r="F4" s="110" t="s">
        <v>44</v>
      </c>
      <c r="G4" s="109" t="s">
        <v>45</v>
      </c>
      <c r="H4" s="110" t="s">
        <v>46</v>
      </c>
      <c r="I4" s="110" t="s">
        <v>47</v>
      </c>
      <c r="J4" s="109" t="s">
        <v>12</v>
      </c>
      <c r="K4" s="109" t="s">
        <v>48</v>
      </c>
      <c r="L4" s="109" t="s">
        <v>11</v>
      </c>
      <c r="M4" s="110" t="s">
        <v>13</v>
      </c>
      <c r="N4" s="110" t="s">
        <v>49</v>
      </c>
      <c r="O4" s="109" t="s">
        <v>14</v>
      </c>
      <c r="P4" s="110" t="s">
        <v>17</v>
      </c>
      <c r="Q4" s="109" t="s">
        <v>50</v>
      </c>
      <c r="R4" s="109" t="s">
        <v>51</v>
      </c>
      <c r="S4" s="109" t="s">
        <v>52</v>
      </c>
      <c r="T4" s="110" t="s">
        <v>53</v>
      </c>
      <c r="U4" s="109" t="s">
        <v>15</v>
      </c>
      <c r="V4" s="110" t="s">
        <v>54</v>
      </c>
      <c r="W4" s="110" t="s">
        <v>55</v>
      </c>
      <c r="X4" s="110" t="s">
        <v>56</v>
      </c>
      <c r="Y4" s="110" t="s">
        <v>57</v>
      </c>
      <c r="Z4" s="110" t="s">
        <v>58</v>
      </c>
      <c r="AA4" s="110" t="s">
        <v>59</v>
      </c>
      <c r="AB4" s="110" t="s">
        <v>16</v>
      </c>
      <c r="AC4" s="110" t="s">
        <v>60</v>
      </c>
      <c r="AD4" s="110" t="s">
        <v>61</v>
      </c>
      <c r="AE4" s="111" t="s">
        <v>62</v>
      </c>
      <c r="AF4" s="108" t="s">
        <v>18</v>
      </c>
      <c r="AG4" s="96"/>
    </row>
    <row r="5" spans="1:33" x14ac:dyDescent="0.3">
      <c r="A5" s="126">
        <v>42036</v>
      </c>
      <c r="B5" s="127">
        <f>LN(Price!B6/Price!B5)</f>
        <v>3.5292686445499419E-2</v>
      </c>
      <c r="C5" s="127">
        <f>LN(Price!C6/Price!C5)</f>
        <v>0.12853912341698276</v>
      </c>
      <c r="D5" s="127">
        <f>LN(Price!D6/Price!D5)</f>
        <v>9.0246877847778031E-2</v>
      </c>
      <c r="E5" s="127">
        <f>LN(Price!E6/Price!E5)</f>
        <v>8.2565513839431448E-2</v>
      </c>
      <c r="F5" s="127">
        <f>LN(Price!F6/Price!F5)</f>
        <v>2.1622464013165709E-2</v>
      </c>
      <c r="G5" s="127">
        <f>LN(Price!G6/Price!G5)</f>
        <v>7.0677202840294107E-2</v>
      </c>
      <c r="H5" s="127">
        <f>LN(Price!H6/Price!H5)</f>
        <v>5.6095786345423095E-2</v>
      </c>
      <c r="I5" s="127">
        <f>LN(Price!I6/Price!I5)</f>
        <v>7.2251307840853873E-2</v>
      </c>
      <c r="J5" s="127">
        <f>LN(Price!J6/Price!J5)</f>
        <v>3.6403429388005351E-2</v>
      </c>
      <c r="K5" s="127">
        <f>LN(Price!K6/Price!K5)</f>
        <v>8.8782856638011678E-2</v>
      </c>
      <c r="L5" s="127">
        <f>LN(Price!L6/Price!L5)</f>
        <v>0.1301128855482101</v>
      </c>
      <c r="M5" s="127">
        <f>LN(Price!M6/Price!M5)</f>
        <v>0.12633527329073296</v>
      </c>
      <c r="N5" s="127">
        <f>LN(Price!N6/Price!N5)</f>
        <v>0.10556194581260157</v>
      </c>
      <c r="O5" s="127">
        <f>LN(Price!O6/Price!O5)</f>
        <v>4.0066992596885953E-2</v>
      </c>
      <c r="P5" s="127">
        <f>LN(Price!P6/Price!P5)</f>
        <v>-2.1068194988687599E-2</v>
      </c>
      <c r="Q5" s="127">
        <f>LN(Price!Q6/Price!Q5)</f>
        <v>0.11249976066729699</v>
      </c>
      <c r="R5" s="127">
        <f>LN(Price!R6/Price!R5)</f>
        <v>3.8587508030052696E-2</v>
      </c>
      <c r="S5" s="127">
        <f>LN(Price!S6/Price!S5)</f>
        <v>6.9139854657643121E-2</v>
      </c>
      <c r="T5" s="127">
        <f>LN(Price!T6/Price!T5)</f>
        <v>1.5228720701824683E-2</v>
      </c>
      <c r="U5" s="127">
        <f>LN(Price!U6/Price!U5)</f>
        <v>4.6363128279691967E-2</v>
      </c>
      <c r="V5" s="127">
        <f>LN(Price!V6/Price!V5)</f>
        <v>6.6762300005641942E-2</v>
      </c>
      <c r="W5" s="127">
        <f>LN(Price!W6/Price!W5)</f>
        <v>0.10860023467404842</v>
      </c>
      <c r="X5" s="127">
        <f>LN(Price!X6/Price!X5)</f>
        <v>5.1002554452372791E-2</v>
      </c>
      <c r="Y5" s="127">
        <f>LN(Price!Y6/Price!Y5)</f>
        <v>7.4512203109842787E-2</v>
      </c>
      <c r="Z5" s="127">
        <f>LN(Price!Z6/Price!Z5)</f>
        <v>6.0888369675012599E-2</v>
      </c>
      <c r="AA5" s="127">
        <f>LN(Price!AA6/Price!AA5)</f>
        <v>9.1072885328809638E-2</v>
      </c>
      <c r="AB5" s="127">
        <f>LN(Price!AB6/Price!AB5)</f>
        <v>2.2841402990776288E-2</v>
      </c>
      <c r="AC5" s="127">
        <f>LN(Price!AC6/Price!AC5)</f>
        <v>4.1586606516936971E-2</v>
      </c>
      <c r="AD5" s="127">
        <f>LN(Price!AD6/Price!AD5)</f>
        <v>2.986570094846237E-2</v>
      </c>
      <c r="AE5" s="127">
        <f>LN(Price!AE6/Price!AE5)</f>
        <v>6.0341462188749154E-2</v>
      </c>
      <c r="AF5" s="127">
        <f>LN(Price!AF6/Price!AF5)</f>
        <v>6.4046199434508011E-2</v>
      </c>
      <c r="AG5" s="96" t="str" cm="1">
        <f t="array" ref="AG5">getformula(AF5)</f>
        <v>=LN(Price!AF6/Price!AF5)</v>
      </c>
    </row>
    <row r="6" spans="1:33" x14ac:dyDescent="0.3">
      <c r="A6" s="126">
        <v>42064</v>
      </c>
      <c r="B6" s="127">
        <f>LN(Price!B7/Price!B6)</f>
        <v>2.2820276259057158E-2</v>
      </c>
      <c r="C6" s="127">
        <f>LN(Price!C7/Price!C6)</f>
        <v>9.4503565523849864E-2</v>
      </c>
      <c r="D6" s="127">
        <f>LN(Price!D7/Price!D6)</f>
        <v>-1.5345569674660421E-2</v>
      </c>
      <c r="E6" s="127">
        <f>LN(Price!E7/Price!E6)</f>
        <v>7.1980130199330056E-2</v>
      </c>
      <c r="F6" s="127">
        <f>LN(Price!F7/Price!F6)</f>
        <v>7.8704914831876402E-2</v>
      </c>
      <c r="G6" s="127">
        <f>LN(Price!G7/Price!G6)</f>
        <v>8.8515736152933611E-3</v>
      </c>
      <c r="H6" s="127">
        <f>LN(Price!H7/Price!H6)</f>
        <v>-4.4690789731432763E-2</v>
      </c>
      <c r="I6" s="127">
        <f>LN(Price!I7/Price!I6)</f>
        <v>3.6545147117683474E-2</v>
      </c>
      <c r="J6" s="127">
        <f>LN(Price!J7/Price!J6)</f>
        <v>7.2657645576075527E-2</v>
      </c>
      <c r="K6" s="127">
        <f>LN(Price!K7/Price!K6)</f>
        <v>3.0074177618009491E-2</v>
      </c>
      <c r="L6" s="127">
        <f>LN(Price!L7/Price!L6)</f>
        <v>3.0726686368639638E-4</v>
      </c>
      <c r="M6" s="127">
        <f>LN(Price!M7/Price!M6)</f>
        <v>5.9548054013725718E-2</v>
      </c>
      <c r="N6" s="127">
        <f>LN(Price!N7/Price!N6)</f>
        <v>0.10018703541110081</v>
      </c>
      <c r="O6" s="127">
        <f>LN(Price!O7/Price!O6)</f>
        <v>6.0241146033808762E-3</v>
      </c>
      <c r="P6" s="127">
        <f>LN(Price!P7/Price!P6)</f>
        <v>5.6617277920002484E-3</v>
      </c>
      <c r="Q6" s="127">
        <f>LN(Price!Q7/Price!Q6)</f>
        <v>-9.3239155125481463E-2</v>
      </c>
      <c r="R6" s="127">
        <f>LN(Price!R7/Price!R6)</f>
        <v>0.12570529531209429</v>
      </c>
      <c r="S6" s="127">
        <f>LN(Price!S7/Price!S6)</f>
        <v>4.2433863485501183E-2</v>
      </c>
      <c r="T6" s="127">
        <f>LN(Price!T7/Price!T6)</f>
        <v>-4.9483099407716336E-2</v>
      </c>
      <c r="U6" s="127">
        <f>LN(Price!U7/Price!U6)</f>
        <v>7.1953886974929174E-2</v>
      </c>
      <c r="V6" s="127">
        <f>LN(Price!V7/Price!V6)</f>
        <v>-3.2611585588760782E-2</v>
      </c>
      <c r="W6" s="127">
        <f>LN(Price!W7/Price!W6)</f>
        <v>5.6976173190667403E-2</v>
      </c>
      <c r="X6" s="127">
        <f>LN(Price!X7/Price!X6)</f>
        <v>-3.9441732051296731E-2</v>
      </c>
      <c r="Y6" s="127">
        <f>LN(Price!Y7/Price!Y6)</f>
        <v>7.747981424937754E-2</v>
      </c>
      <c r="Z6" s="127">
        <f>LN(Price!Z7/Price!Z6)</f>
        <v>3.2290628330992548E-2</v>
      </c>
      <c r="AA6" s="127">
        <f>LN(Price!AA7/Price!AA6)</f>
        <v>5.3731932080210966E-2</v>
      </c>
      <c r="AB6" s="127">
        <f>LN(Price!AB7/Price!AB6)</f>
        <v>0</v>
      </c>
      <c r="AC6" s="127">
        <f>LN(Price!AC7/Price!AC6)</f>
        <v>8.1556367181865028E-2</v>
      </c>
      <c r="AD6" s="127">
        <f>LN(Price!AD7/Price!AD6)</f>
        <v>2.6955809988528295E-2</v>
      </c>
      <c r="AE6" s="127">
        <f>LN(Price!AE7/Price!AE6)</f>
        <v>1.7962486406376186E-2</v>
      </c>
      <c r="AF6" s="127">
        <f>LN(Price!AF7/Price!AF6)</f>
        <v>4.8324542951685361E-2</v>
      </c>
      <c r="AG6" s="96"/>
    </row>
    <row r="7" spans="1:33" x14ac:dyDescent="0.3">
      <c r="A7" s="126">
        <v>42095</v>
      </c>
      <c r="B7" s="127">
        <f>LN(Price!B8/Price!B7)</f>
        <v>-5.9877604168320241E-2</v>
      </c>
      <c r="C7" s="127">
        <f>LN(Price!C8/Price!C7)</f>
        <v>-6.8459856989303444E-2</v>
      </c>
      <c r="D7" s="127">
        <f>LN(Price!D8/Price!D7)</f>
        <v>0.12121357075317268</v>
      </c>
      <c r="E7" s="127">
        <f>LN(Price!E8/Price!E7)</f>
        <v>5.9058196164600918E-3</v>
      </c>
      <c r="F7" s="127">
        <f>LN(Price!F8/Price!F7)</f>
        <v>-5.8849861521896703E-2</v>
      </c>
      <c r="G7" s="127">
        <f>LN(Price!G8/Price!G7)</f>
        <v>-3.2239192337188187E-2</v>
      </c>
      <c r="H7" s="127">
        <f>LN(Price!H8/Price!H7)</f>
        <v>1.5683921902554139E-2</v>
      </c>
      <c r="I7" s="127">
        <f>LN(Price!I8/Price!I7)</f>
        <v>-3.8627999062535057E-2</v>
      </c>
      <c r="J7" s="127">
        <f>LN(Price!J8/Price!J7)</f>
        <v>-5.0678738857300225E-2</v>
      </c>
      <c r="K7" s="127">
        <f>LN(Price!K8/Price!K7)</f>
        <v>-9.3079950710412585E-2</v>
      </c>
      <c r="L7" s="127">
        <f>LN(Price!L8/Price!L7)</f>
        <v>0.14289600955556545</v>
      </c>
      <c r="M7" s="127">
        <f>LN(Price!M8/Price!M7)</f>
        <v>-3.6707267102196101E-3</v>
      </c>
      <c r="N7" s="127">
        <f>LN(Price!N8/Price!N7)</f>
        <v>-6.9836595170639754E-2</v>
      </c>
      <c r="O7" s="127">
        <f>LN(Price!O8/Price!O7)</f>
        <v>5.9880418446226933E-3</v>
      </c>
      <c r="P7" s="127">
        <f>LN(Price!P8/Price!P7)</f>
        <v>-3.2272431404849845E-2</v>
      </c>
      <c r="Q7" s="127">
        <f>LN(Price!Q8/Price!Q7)</f>
        <v>-4.3433053202597639E-2</v>
      </c>
      <c r="R7" s="127">
        <f>LN(Price!R8/Price!R7)</f>
        <v>-7.7121742713645233E-2</v>
      </c>
      <c r="S7" s="127">
        <f>LN(Price!S8/Price!S7)</f>
        <v>-2.3276970330735721E-2</v>
      </c>
      <c r="T7" s="127">
        <f>LN(Price!T8/Price!T7)</f>
        <v>-6.4685569149011843E-2</v>
      </c>
      <c r="U7" s="127">
        <f>LN(Price!U8/Price!U7)</f>
        <v>-3.6237868844226688E-2</v>
      </c>
      <c r="V7" s="127">
        <f>LN(Price!V8/Price!V7)</f>
        <v>-1.6281422207028141E-2</v>
      </c>
      <c r="W7" s="127">
        <f>LN(Price!W8/Price!W7)</f>
        <v>-2.9211586514475779E-2</v>
      </c>
      <c r="X7" s="127">
        <f>LN(Price!X8/Price!X7)</f>
        <v>5.7306747089850745E-3</v>
      </c>
      <c r="Y7" s="127">
        <f>LN(Price!Y8/Price!Y7)</f>
        <v>-3.373390239757755E-2</v>
      </c>
      <c r="Z7" s="127">
        <f>LN(Price!Z8/Price!Z7)</f>
        <v>-4.479226538327194E-2</v>
      </c>
      <c r="AA7" s="127">
        <f>LN(Price!AA8/Price!AA7)</f>
        <v>2.3857990453893953E-2</v>
      </c>
      <c r="AB7" s="127">
        <f>LN(Price!AB8/Price!AB7)</f>
        <v>5.1351196590745475E-2</v>
      </c>
      <c r="AC7" s="127">
        <f>LN(Price!AC8/Price!AC7)</f>
        <v>-0.13031146317741465</v>
      </c>
      <c r="AD7" s="127">
        <f>LN(Price!AD8/Price!AD7)</f>
        <v>-2.401771763362456E-2</v>
      </c>
      <c r="AE7" s="127">
        <f>LN(Price!AE8/Price!AE7)</f>
        <v>-2.6011523737943264E-2</v>
      </c>
      <c r="AF7" s="127">
        <f>LN(Price!AF8/Price!AF7)</f>
        <v>-4.3711312182187288E-2</v>
      </c>
      <c r="AG7" s="96"/>
    </row>
    <row r="8" spans="1:33" x14ac:dyDescent="0.3">
      <c r="A8" s="126">
        <v>42125</v>
      </c>
      <c r="B8" s="127">
        <f>LN(Price!B9/Price!B8)</f>
        <v>3.0012038306535167E-2</v>
      </c>
      <c r="C8" s="127">
        <f>LN(Price!C9/Price!C8)</f>
        <v>-4.6201165959526648E-2</v>
      </c>
      <c r="D8" s="127">
        <f>LN(Price!D9/Price!D8)</f>
        <v>0.36667048377041139</v>
      </c>
      <c r="E8" s="127">
        <f>LN(Price!E9/Price!E8)</f>
        <v>-7.9811242450850209E-3</v>
      </c>
      <c r="F8" s="127">
        <f>LN(Price!F9/Price!F8)</f>
        <v>-6.6725270314236987E-2</v>
      </c>
      <c r="G8" s="127">
        <f>LN(Price!G9/Price!G8)</f>
        <v>-1.7906814563799861E-2</v>
      </c>
      <c r="H8" s="127">
        <f>LN(Price!H9/Price!H8)</f>
        <v>-7.4055928124461406E-2</v>
      </c>
      <c r="I8" s="127">
        <f>LN(Price!I9/Price!I8)</f>
        <v>-1.2237201829896863E-2</v>
      </c>
      <c r="J8" s="127">
        <f>LN(Price!J9/Price!J8)</f>
        <v>0.1150487821914233</v>
      </c>
      <c r="K8" s="127">
        <f>LN(Price!K9/Price!K8)</f>
        <v>-5.2236245895420759E-2</v>
      </c>
      <c r="L8" s="127">
        <f>LN(Price!L9/Price!L8)</f>
        <v>7.3898705442535781E-2</v>
      </c>
      <c r="M8" s="127">
        <f>LN(Price!M9/Price!M8)</f>
        <v>-2.6079435948395763E-2</v>
      </c>
      <c r="N8" s="127">
        <f>LN(Price!N9/Price!N8)</f>
        <v>-5.8911553028505433E-2</v>
      </c>
      <c r="O8" s="127">
        <f>LN(Price!O9/Price!O8)</f>
        <v>8.8502801576299778E-2</v>
      </c>
      <c r="P8" s="127">
        <f>LN(Price!P9/Price!P8)</f>
        <v>-6.9409451372167724E-2</v>
      </c>
      <c r="Q8" s="127">
        <f>LN(Price!Q9/Price!Q8)</f>
        <v>-4.3578323787032039E-2</v>
      </c>
      <c r="R8" s="127">
        <f>LN(Price!R9/Price!R8)</f>
        <v>5.9744718296675025E-3</v>
      </c>
      <c r="S8" s="127">
        <f>LN(Price!S9/Price!S8)</f>
        <v>-1.8745455173236159E-2</v>
      </c>
      <c r="T8" s="127">
        <f>LN(Price!T9/Price!T8)</f>
        <v>-4.7214934906517236E-2</v>
      </c>
      <c r="U8" s="127">
        <f>LN(Price!U9/Price!U8)</f>
        <v>-1.3834325710692204E-2</v>
      </c>
      <c r="V8" s="127">
        <f>LN(Price!V9/Price!V8)</f>
        <v>-4.2803798610022016E-2</v>
      </c>
      <c r="W8" s="127">
        <f>LN(Price!W9/Price!W8)</f>
        <v>3.3334241155471067E-2</v>
      </c>
      <c r="X8" s="127">
        <f>LN(Price!X9/Price!X8)</f>
        <v>-4.3376274325351849E-2</v>
      </c>
      <c r="Y8" s="127">
        <f>LN(Price!Y9/Price!Y8)</f>
        <v>-6.0820215373647797E-2</v>
      </c>
      <c r="Z8" s="127">
        <f>LN(Price!Z9/Price!Z8)</f>
        <v>-1.9006895719681448E-3</v>
      </c>
      <c r="AA8" s="127">
        <f>LN(Price!AA9/Price!AA8)</f>
        <v>-2.3857990453894064E-2</v>
      </c>
      <c r="AB8" s="127">
        <f>LN(Price!AB9/Price!AB8)</f>
        <v>-0.22067136216882063</v>
      </c>
      <c r="AC8" s="127">
        <f>LN(Price!AC9/Price!AC8)</f>
        <v>-3.1242652703043928E-2</v>
      </c>
      <c r="AD8" s="127">
        <f>LN(Price!AD9/Price!AD8)</f>
        <v>1.0837955189214757E-2</v>
      </c>
      <c r="AE8" s="127">
        <f>LN(Price!AE9/Price!AE8)</f>
        <v>-4.0148761365902841E-2</v>
      </c>
      <c r="AF8" s="127">
        <f>LN(Price!AF9/Price!AF8)</f>
        <v>-3.5472877210603274E-3</v>
      </c>
      <c r="AG8" s="96"/>
    </row>
    <row r="9" spans="1:33" x14ac:dyDescent="0.3">
      <c r="A9" s="126">
        <v>42156</v>
      </c>
      <c r="B9" s="127">
        <f>LN(Price!B10/Price!B9)</f>
        <v>-8.7956459949589241E-2</v>
      </c>
      <c r="C9" s="127">
        <f>LN(Price!C10/Price!C9)</f>
        <v>-6.0624621816434854E-2</v>
      </c>
      <c r="D9" s="127">
        <f>LN(Price!D10/Price!D9)</f>
        <v>5.5398779389788169E-2</v>
      </c>
      <c r="E9" s="127">
        <f>LN(Price!E10/Price!E9)</f>
        <v>-7.3731360852072797E-2</v>
      </c>
      <c r="F9" s="127">
        <f>LN(Price!F10/Price!F9)</f>
        <v>-2.1597582273203547E-2</v>
      </c>
      <c r="G9" s="127">
        <f>LN(Price!G10/Price!G9)</f>
        <v>-5.8303655079277268E-2</v>
      </c>
      <c r="H9" s="127">
        <f>LN(Price!H10/Price!H9)</f>
        <v>-4.6225150620224635E-2</v>
      </c>
      <c r="I9" s="127">
        <f>LN(Price!I10/Price!I9)</f>
        <v>-4.3620622475890408E-2</v>
      </c>
      <c r="J9" s="127">
        <f>LN(Price!J10/Price!J9)</f>
        <v>-6.4370043334123106E-2</v>
      </c>
      <c r="K9" s="127">
        <f>LN(Price!K10/Price!K9)</f>
        <v>-2.5343271094610178E-2</v>
      </c>
      <c r="L9" s="127">
        <f>LN(Price!L10/Price!L9)</f>
        <v>-1.8220895959534737E-2</v>
      </c>
      <c r="M9" s="127">
        <f>LN(Price!M10/Price!M9)</f>
        <v>-4.1095809906312286E-2</v>
      </c>
      <c r="N9" s="127">
        <f>LN(Price!N10/Price!N9)</f>
        <v>-6.2203522436499591E-2</v>
      </c>
      <c r="O9" s="127">
        <f>LN(Price!O10/Price!O9)</f>
        <v>6.862850638909615E-2</v>
      </c>
      <c r="P9" s="127">
        <f>LN(Price!P10/Price!P9)</f>
        <v>-0.13263893384150285</v>
      </c>
      <c r="Q9" s="127">
        <f>LN(Price!Q10/Price!Q9)</f>
        <v>-7.9373587541512192E-2</v>
      </c>
      <c r="R9" s="127">
        <f>LN(Price!R10/Price!R9)</f>
        <v>-8.5621211485359491E-2</v>
      </c>
      <c r="S9" s="127">
        <f>LN(Price!S10/Price!S9)</f>
        <v>1.7937700686667252E-2</v>
      </c>
      <c r="T9" s="127">
        <f>LN(Price!T10/Price!T9)</f>
        <v>-9.7878843536367693E-2</v>
      </c>
      <c r="U9" s="127">
        <f>LN(Price!U10/Price!U9)</f>
        <v>-2.9085738929140334E-2</v>
      </c>
      <c r="V9" s="127">
        <f>LN(Price!V10/Price!V9)</f>
        <v>-7.5843541335256698E-2</v>
      </c>
      <c r="W9" s="127">
        <f>LN(Price!W10/Price!W9)</f>
        <v>-4.9278841022304398E-2</v>
      </c>
      <c r="X9" s="127">
        <f>LN(Price!X10/Price!X9)</f>
        <v>-0.11268098377248797</v>
      </c>
      <c r="Y9" s="127">
        <f>LN(Price!Y10/Price!Y9)</f>
        <v>-6.6028149481423548E-2</v>
      </c>
      <c r="Z9" s="127">
        <f>LN(Price!Z10/Price!Z9)</f>
        <v>9.4675263383993645E-3</v>
      </c>
      <c r="AA9" s="127">
        <f>LN(Price!AA10/Price!AA9)</f>
        <v>-0.1105157439303884</v>
      </c>
      <c r="AB9" s="127">
        <f>LN(Price!AB10/Price!AB9)</f>
        <v>-2.3595820596682426E-2</v>
      </c>
      <c r="AC9" s="127">
        <f>LN(Price!AC10/Price!AC9)</f>
        <v>-7.1145140034802323E-2</v>
      </c>
      <c r="AD9" s="127">
        <f>LN(Price!AD10/Price!AD9)</f>
        <v>-3.2872745000574785E-2</v>
      </c>
      <c r="AE9" s="127">
        <f>LN(Price!AE10/Price!AE9)</f>
        <v>7.2886620047052514E-3</v>
      </c>
      <c r="AF9" s="127">
        <f>LN(Price!AF10/Price!AF9)</f>
        <v>-4.1944911889826249E-2</v>
      </c>
      <c r="AG9" s="96"/>
    </row>
    <row r="10" spans="1:33" x14ac:dyDescent="0.3">
      <c r="A10" s="126">
        <v>42186</v>
      </c>
      <c r="B10" s="127">
        <f>LN(Price!B11/Price!B10)</f>
        <v>7.2628007837520978E-2</v>
      </c>
      <c r="C10" s="127">
        <f>LN(Price!C11/Price!C10)</f>
        <v>-0.13133600206108698</v>
      </c>
      <c r="D10" s="127">
        <f>LN(Price!D11/Price!D10)</f>
        <v>0.27335842009847094</v>
      </c>
      <c r="E10" s="127">
        <f>LN(Price!E11/Price!E10)</f>
        <v>4.1614013059121727E-2</v>
      </c>
      <c r="F10" s="127">
        <f>LN(Price!F11/Price!F10)</f>
        <v>6.5119955507776564E-2</v>
      </c>
      <c r="G10" s="127">
        <f>LN(Price!G11/Price!G10)</f>
        <v>7.5527642713166407E-2</v>
      </c>
      <c r="H10" s="127">
        <f>LN(Price!H11/Price!H10)</f>
        <v>4.8771995729827856E-2</v>
      </c>
      <c r="I10" s="127">
        <f>LN(Price!I11/Price!I10)</f>
        <v>-3.0669226026939288E-3</v>
      </c>
      <c r="J10" s="127">
        <f>LN(Price!J11/Price!J10)</f>
        <v>-8.6276533110879267E-2</v>
      </c>
      <c r="K10" s="127">
        <f>LN(Price!K11/Price!K10)</f>
        <v>-7.265174102898371E-2</v>
      </c>
      <c r="L10" s="127">
        <f>LN(Price!L11/Price!L10)</f>
        <v>0.17579315622501185</v>
      </c>
      <c r="M10" s="127">
        <f>LN(Price!M11/Price!M10)</f>
        <v>8.137522750857408E-2</v>
      </c>
      <c r="N10" s="127">
        <f>LN(Price!N11/Price!N10)</f>
        <v>-9.8371629822814666E-2</v>
      </c>
      <c r="O10" s="127">
        <f>LN(Price!O11/Price!O10)</f>
        <v>-5.5059777183027431E-2</v>
      </c>
      <c r="P10" s="127">
        <f>LN(Price!P11/Price!P10)</f>
        <v>5.1293294387550481E-2</v>
      </c>
      <c r="Q10" s="127">
        <f>LN(Price!Q11/Price!Q10)</f>
        <v>0.11558474943368577</v>
      </c>
      <c r="R10" s="127">
        <f>LN(Price!R11/Price!R10)</f>
        <v>3.5608157547300574E-2</v>
      </c>
      <c r="S10" s="127">
        <f>LN(Price!S11/Price!S10)</f>
        <v>0.10693503303028391</v>
      </c>
      <c r="T10" s="127">
        <f>LN(Price!T11/Price!T10)</f>
        <v>-1.7563568938701674E-2</v>
      </c>
      <c r="U10" s="127">
        <f>LN(Price!U11/Price!U10)</f>
        <v>-8.2118878609225704E-3</v>
      </c>
      <c r="V10" s="127">
        <f>LN(Price!V11/Price!V10)</f>
        <v>9.0612214331676613E-2</v>
      </c>
      <c r="W10" s="127">
        <f>LN(Price!W11/Price!W10)</f>
        <v>3.9091510319052758E-3</v>
      </c>
      <c r="X10" s="127">
        <f>LN(Price!X11/Price!X10)</f>
        <v>5.7088642203199794E-3</v>
      </c>
      <c r="Y10" s="127">
        <f>LN(Price!Y11/Price!Y10)</f>
        <v>-3.431407065227412E-3</v>
      </c>
      <c r="Z10" s="127">
        <f>LN(Price!Z11/Price!Z10)</f>
        <v>-4.1853150242468794E-2</v>
      </c>
      <c r="AA10" s="127">
        <f>LN(Price!AA11/Price!AA10)</f>
        <v>1.6713480973740532E-2</v>
      </c>
      <c r="AB10" s="127">
        <f>LN(Price!AB11/Price!AB10)</f>
        <v>0.19291598617475744</v>
      </c>
      <c r="AC10" s="127">
        <f>LN(Price!AC11/Price!AC10)</f>
        <v>4.8207269858566479E-2</v>
      </c>
      <c r="AD10" s="127">
        <f>LN(Price!AD11/Price!AD10)</f>
        <v>-1.0769003492005951E-2</v>
      </c>
      <c r="AE10" s="127">
        <f>LN(Price!AE11/Price!AE10)</f>
        <v>5.5442264457023112E-2</v>
      </c>
      <c r="AF10" s="127">
        <f>LN(Price!AF11/Price!AF10)</f>
        <v>3.2717994643863449E-2</v>
      </c>
      <c r="AG10" s="96"/>
    </row>
    <row r="11" spans="1:33" x14ac:dyDescent="0.3">
      <c r="A11" s="126">
        <v>42217</v>
      </c>
      <c r="B11" s="127">
        <f>LN(Price!B12/Price!B11)</f>
        <v>-0.11650570537441088</v>
      </c>
      <c r="C11" s="127">
        <f>LN(Price!C12/Price!C11)</f>
        <v>-7.3349150819726081E-2</v>
      </c>
      <c r="D11" s="127">
        <f>LN(Price!D12/Price!D11)</f>
        <v>-4.6628493153033454E-2</v>
      </c>
      <c r="E11" s="127">
        <f>LN(Price!E12/Price!E11)</f>
        <v>-8.4201409500172922E-2</v>
      </c>
      <c r="F11" s="127">
        <f>LN(Price!F12/Price!F11)</f>
        <v>-4.7031148764252378E-2</v>
      </c>
      <c r="G11" s="127">
        <f>LN(Price!G12/Price!G11)</f>
        <v>-9.6745635808011626E-2</v>
      </c>
      <c r="H11" s="127">
        <f>LN(Price!H12/Price!H11)</f>
        <v>-0.11379390978620128</v>
      </c>
      <c r="I11" s="127">
        <f>LN(Price!I12/Price!I11)</f>
        <v>-0.12731970346214241</v>
      </c>
      <c r="J11" s="127">
        <f>LN(Price!J12/Price!J11)</f>
        <v>-4.6100347166818427E-2</v>
      </c>
      <c r="K11" s="127">
        <f>LN(Price!K12/Price!K11)</f>
        <v>-0.10475220613119039</v>
      </c>
      <c r="L11" s="127">
        <f>LN(Price!L12/Price!L11)</f>
        <v>-1.9629390665072202E-2</v>
      </c>
      <c r="M11" s="127">
        <f>LN(Price!M12/Price!M11)</f>
        <v>-0.1098916016720628</v>
      </c>
      <c r="N11" s="127">
        <f>LN(Price!N12/Price!N11)</f>
        <v>-9.7780742638602189E-2</v>
      </c>
      <c r="O11" s="127">
        <f>LN(Price!O12/Price!O11)</f>
        <v>6.0148846690498754E-2</v>
      </c>
      <c r="P11" s="127">
        <f>LN(Price!P12/Price!P11)</f>
        <v>-0.24023798467350996</v>
      </c>
      <c r="Q11" s="127">
        <f>LN(Price!Q12/Price!Q11)</f>
        <v>2.7094397927479304E-2</v>
      </c>
      <c r="R11" s="127">
        <f>LN(Price!R12/Price!R11)</f>
        <v>-8.2682408298647828E-2</v>
      </c>
      <c r="S11" s="127">
        <f>LN(Price!S12/Price!S11)</f>
        <v>-3.4974627392903274E-2</v>
      </c>
      <c r="T11" s="127">
        <f>LN(Price!T12/Price!T11)</f>
        <v>-0.34660087794439148</v>
      </c>
      <c r="U11" s="127">
        <f>LN(Price!U12/Price!U11)</f>
        <v>-4.6474491768998462E-2</v>
      </c>
      <c r="V11" s="127">
        <f>LN(Price!V12/Price!V11)</f>
        <v>4.0484309790170966E-2</v>
      </c>
      <c r="W11" s="127">
        <f>LN(Price!W12/Price!W11)</f>
        <v>-8.5923457070574277E-2</v>
      </c>
      <c r="X11" s="127">
        <f>LN(Price!X12/Price!X11)</f>
        <v>-0.17363077849622671</v>
      </c>
      <c r="Y11" s="127">
        <f>LN(Price!Y12/Price!Y11)</f>
        <v>-8.9572375903693394E-2</v>
      </c>
      <c r="Z11" s="127">
        <f>LN(Price!Z12/Price!Z11)</f>
        <v>-7.1786537484378202E-2</v>
      </c>
      <c r="AA11" s="127">
        <f>LN(Price!AA12/Price!AA11)</f>
        <v>-9.9850859846856821E-2</v>
      </c>
      <c r="AB11" s="127">
        <f>LN(Price!AB12/Price!AB11)</f>
        <v>3.4152437012749552E-2</v>
      </c>
      <c r="AC11" s="127">
        <f>LN(Price!AC12/Price!AC11)</f>
        <v>-2.4272595559307299E-2</v>
      </c>
      <c r="AD11" s="127">
        <f>LN(Price!AD12/Price!AD11)</f>
        <v>-0.17774133014616458</v>
      </c>
      <c r="AE11" s="127">
        <f>LN(Price!AE12/Price!AE11)</f>
        <v>-8.0815936802658098E-2</v>
      </c>
      <c r="AF11" s="127">
        <f>LN(Price!AF12/Price!AF11)</f>
        <v>-9.7397777858731993E-2</v>
      </c>
      <c r="AG11" s="96"/>
    </row>
    <row r="12" spans="1:33" x14ac:dyDescent="0.3">
      <c r="A12" s="126">
        <v>42248</v>
      </c>
      <c r="B12" s="127">
        <f>LN(Price!B13/Price!B12)</f>
        <v>-3.5833642266551453E-2</v>
      </c>
      <c r="C12" s="127">
        <f>LN(Price!C13/Price!C12)</f>
        <v>-0.55043972795502982</v>
      </c>
      <c r="D12" s="127">
        <f>LN(Price!D13/Price!D12)</f>
        <v>-7.1856596608744858E-3</v>
      </c>
      <c r="E12" s="127">
        <f>LN(Price!E13/Price!E12)</f>
        <v>-3.4597311879241019E-2</v>
      </c>
      <c r="F12" s="127">
        <f>LN(Price!F13/Price!F12)</f>
        <v>-1.4159528603634616E-2</v>
      </c>
      <c r="G12" s="127">
        <f>LN(Price!G13/Price!G12)</f>
        <v>-0.10127223663326168</v>
      </c>
      <c r="H12" s="127">
        <f>LN(Price!H13/Price!H12)</f>
        <v>8.9177729220547893E-3</v>
      </c>
      <c r="I12" s="127">
        <f>LN(Price!I13/Price!I12)</f>
        <v>-9.985580111435495E-2</v>
      </c>
      <c r="J12" s="127">
        <f>LN(Price!J13/Price!J12)</f>
        <v>3.129987966183749E-2</v>
      </c>
      <c r="K12" s="127">
        <f>LN(Price!K13/Price!K12)</f>
        <v>-3.7169789275961797E-2</v>
      </c>
      <c r="L12" s="127">
        <f>LN(Price!L13/Price!L12)</f>
        <v>-7.6314837559521981E-2</v>
      </c>
      <c r="M12" s="127">
        <f>LN(Price!M13/Price!M12)</f>
        <v>7.6300240210284226E-2</v>
      </c>
      <c r="N12" s="127">
        <f>LN(Price!N13/Price!N12)</f>
        <v>-0.48869272443855627</v>
      </c>
      <c r="O12" s="127">
        <f>LN(Price!O13/Price!O12)</f>
        <v>0</v>
      </c>
      <c r="P12" s="127">
        <f>LN(Price!P13/Price!P12)</f>
        <v>-0.10919929196499184</v>
      </c>
      <c r="Q12" s="127">
        <f>LN(Price!Q13/Price!Q12)</f>
        <v>-1.4845775851280095E-2</v>
      </c>
      <c r="R12" s="127">
        <f>LN(Price!R13/Price!R12)</f>
        <v>-7.5236248222632224E-2</v>
      </c>
      <c r="S12" s="127">
        <f>LN(Price!S13/Price!S12)</f>
        <v>-3.5203226955315227E-2</v>
      </c>
      <c r="T12" s="127">
        <f>LN(Price!T13/Price!T12)</f>
        <v>-0.27703676875596223</v>
      </c>
      <c r="U12" s="127">
        <f>LN(Price!U13/Price!U12)</f>
        <v>-6.5841322344038125E-2</v>
      </c>
      <c r="V12" s="127">
        <f>LN(Price!V13/Price!V12)</f>
        <v>1.9015996628906282E-2</v>
      </c>
      <c r="W12" s="127">
        <f>LN(Price!W13/Price!W12)</f>
        <v>2.3329320010262004E-2</v>
      </c>
      <c r="X12" s="127">
        <f>LN(Price!X13/Price!X12)</f>
        <v>-0.27497162096035299</v>
      </c>
      <c r="Y12" s="127">
        <f>LN(Price!Y13/Price!Y12)</f>
        <v>-4.996043931762241E-2</v>
      </c>
      <c r="Z12" s="127">
        <f>LN(Price!Z13/Price!Z12)</f>
        <v>3.4251120297736572E-3</v>
      </c>
      <c r="AA12" s="127">
        <f>LN(Price!AA13/Price!AA12)</f>
        <v>-5.2643733485422027E-2</v>
      </c>
      <c r="AB12" s="127">
        <f>LN(Price!AB13/Price!AB12)</f>
        <v>3.4647402912942458E-2</v>
      </c>
      <c r="AC12" s="127">
        <f>LN(Price!AC13/Price!AC12)</f>
        <v>2.0858089591144185E-2</v>
      </c>
      <c r="AD12" s="127">
        <f>LN(Price!AD13/Price!AD12)</f>
        <v>-0.2092722782979777</v>
      </c>
      <c r="AE12" s="127">
        <f>LN(Price!AE13/Price!AE12)</f>
        <v>-3.357585694845934E-3</v>
      </c>
      <c r="AF12" s="127">
        <f>LN(Price!AF13/Price!AF12)</f>
        <v>-6.0161010937223383E-2</v>
      </c>
      <c r="AG12" s="96"/>
    </row>
    <row r="13" spans="1:33" x14ac:dyDescent="0.3">
      <c r="A13" s="126">
        <v>42278</v>
      </c>
      <c r="B13" s="127">
        <f>LN(Price!B14/Price!B13)</f>
        <v>6.2247769142054793E-2</v>
      </c>
      <c r="C13" s="127">
        <f>LN(Price!C14/Price!C13)</f>
        <v>0.11168319631701762</v>
      </c>
      <c r="D13" s="127">
        <f>LN(Price!D14/Price!D13)</f>
        <v>0.25717329990052101</v>
      </c>
      <c r="E13" s="127">
        <f>LN(Price!E14/Price!E13)</f>
        <v>0.21541749212959752</v>
      </c>
      <c r="F13" s="127">
        <f>LN(Price!F14/Price!F13)</f>
        <v>0.12767649646053975</v>
      </c>
      <c r="G13" s="127">
        <f>LN(Price!G14/Price!G13)</f>
        <v>0.13505673438875726</v>
      </c>
      <c r="H13" s="127">
        <f>LN(Price!H14/Price!H13)</f>
        <v>8.8389227425213393E-2</v>
      </c>
      <c r="I13" s="127">
        <f>LN(Price!I14/Price!I13)</f>
        <v>0.19699112274703678</v>
      </c>
      <c r="J13" s="127">
        <f>LN(Price!J14/Price!J13)</f>
        <v>0.10734661362945551</v>
      </c>
      <c r="K13" s="127">
        <f>LN(Price!K14/Price!K13)</f>
        <v>0.16423419578452991</v>
      </c>
      <c r="L13" s="127">
        <f>LN(Price!L14/Price!L13)</f>
        <v>0.2094690851673171</v>
      </c>
      <c r="M13" s="127">
        <f>LN(Price!M14/Price!M13)</f>
        <v>0.1244113308062474</v>
      </c>
      <c r="N13" s="127">
        <f>LN(Price!N14/Price!N13)</f>
        <v>0.11163997114266946</v>
      </c>
      <c r="O13" s="127">
        <f>LN(Price!O14/Price!O13)</f>
        <v>0.20366574435463894</v>
      </c>
      <c r="P13" s="127">
        <f>LN(Price!P14/Price!P13)</f>
        <v>0.36624439495488309</v>
      </c>
      <c r="Q13" s="127">
        <f>LN(Price!Q14/Price!Q13)</f>
        <v>5.3829206677026634E-2</v>
      </c>
      <c r="R13" s="127">
        <f>LN(Price!R14/Price!R13)</f>
        <v>0.1161379862502836</v>
      </c>
      <c r="S13" s="127">
        <f>LN(Price!S14/Price!S13)</f>
        <v>8.3641214340301279E-2</v>
      </c>
      <c r="T13" s="127">
        <f>LN(Price!T14/Price!T13)</f>
        <v>0.21983229001055385</v>
      </c>
      <c r="U13" s="127">
        <f>LN(Price!U14/Price!U13)</f>
        <v>0.11815437701990845</v>
      </c>
      <c r="V13" s="127">
        <f>LN(Price!V14/Price!V13)</f>
        <v>7.1473397849772149E-2</v>
      </c>
      <c r="W13" s="127">
        <f>LN(Price!W14/Price!W13)</f>
        <v>0.15945638160520692</v>
      </c>
      <c r="X13" s="127">
        <f>LN(Price!X14/Price!X13)</f>
        <v>0.22403468459759893</v>
      </c>
      <c r="Y13" s="127">
        <f>LN(Price!Y14/Price!Y13)</f>
        <v>8.6999179413288094E-2</v>
      </c>
      <c r="Z13" s="127">
        <f>LN(Price!Z14/Price!Z13)</f>
        <v>0.14015067818833868</v>
      </c>
      <c r="AA13" s="127">
        <f>LN(Price!AA14/Price!AA13)</f>
        <v>0.12675170563914401</v>
      </c>
      <c r="AB13" s="127">
        <f>LN(Price!AB14/Price!AB13)</f>
        <v>9.5801459598042732E-2</v>
      </c>
      <c r="AC13" s="127">
        <f>LN(Price!AC14/Price!AC13)</f>
        <v>8.9154293823844988E-2</v>
      </c>
      <c r="AD13" s="127">
        <f>LN(Price!AD14/Price!AD13)</f>
        <v>0.15724355957831762</v>
      </c>
      <c r="AE13" s="127">
        <f>LN(Price!AE14/Price!AE13)</f>
        <v>8.6232548619602403E-2</v>
      </c>
      <c r="AF13" s="127">
        <f>LN(Price!AF14/Price!AF13)</f>
        <v>0.11613878728766648</v>
      </c>
      <c r="AG13" s="96"/>
    </row>
    <row r="14" spans="1:33" x14ac:dyDescent="0.3">
      <c r="A14" s="126">
        <v>42309</v>
      </c>
      <c r="B14" s="127">
        <f>LN(Price!B15/Price!B14)</f>
        <v>7.8273955465424275E-2</v>
      </c>
      <c r="C14" s="127">
        <f>LN(Price!C15/Price!C14)</f>
        <v>0.18529061230380905</v>
      </c>
      <c r="D14" s="127">
        <f>LN(Price!D15/Price!D14)</f>
        <v>3.7105793965357746E-3</v>
      </c>
      <c r="E14" s="127">
        <f>LN(Price!E15/Price!E14)</f>
        <v>3.7008388051713623E-2</v>
      </c>
      <c r="F14" s="127">
        <f>LN(Price!F15/Price!F14)</f>
        <v>5.0775432048892143E-2</v>
      </c>
      <c r="G14" s="127">
        <f>LN(Price!G15/Price!G14)</f>
        <v>7.0107671786590053E-2</v>
      </c>
      <c r="H14" s="127">
        <f>LN(Price!H15/Price!H14)</f>
        <v>2.1922690172624774E-2</v>
      </c>
      <c r="I14" s="127">
        <f>LN(Price!I15/Price!I14)</f>
        <v>7.0401696700883143E-2</v>
      </c>
      <c r="J14" s="127">
        <f>LN(Price!J15/Price!J14)</f>
        <v>0.22528411581332081</v>
      </c>
      <c r="K14" s="127">
        <f>LN(Price!K15/Price!K14)</f>
        <v>0.10117438814729236</v>
      </c>
      <c r="L14" s="127">
        <f>LN(Price!L15/Price!L14)</f>
        <v>6.2154504712970647E-2</v>
      </c>
      <c r="M14" s="127">
        <f>LN(Price!M15/Price!M14)</f>
        <v>0.11610576634787335</v>
      </c>
      <c r="N14" s="127">
        <f>LN(Price!N15/Price!N14)</f>
        <v>0.15374818434989859</v>
      </c>
      <c r="O14" s="127">
        <f>LN(Price!O15/Price!O14)</f>
        <v>-5.3147469538387754E-2</v>
      </c>
      <c r="P14" s="127">
        <f>LN(Price!P15/Price!P14)</f>
        <v>-1.7654935238720824E-2</v>
      </c>
      <c r="Q14" s="127">
        <f>LN(Price!Q15/Price!Q14)</f>
        <v>-3.3856090931026595E-2</v>
      </c>
      <c r="R14" s="127">
        <f>LN(Price!R15/Price!R14)</f>
        <v>8.7367799635620316E-2</v>
      </c>
      <c r="S14" s="127">
        <f>LN(Price!S15/Price!S14)</f>
        <v>-3.1044083830820794E-2</v>
      </c>
      <c r="T14" s="127">
        <f>LN(Price!T15/Price!T14)</f>
        <v>-0.15001331356129671</v>
      </c>
      <c r="U14" s="127">
        <f>LN(Price!U15/Price!U14)</f>
        <v>0.11034983040872531</v>
      </c>
      <c r="V14" s="127">
        <f>LN(Price!V15/Price!V14)</f>
        <v>1.5084409011885687E-2</v>
      </c>
      <c r="W14" s="127">
        <f>LN(Price!W15/Price!W14)</f>
        <v>-4.6107235730831447E-2</v>
      </c>
      <c r="X14" s="127">
        <f>LN(Price!X15/Price!X14)</f>
        <v>-6.5013693396452465E-2</v>
      </c>
      <c r="Y14" s="127">
        <f>LN(Price!Y15/Price!Y14)</f>
        <v>4.9856599344082854E-2</v>
      </c>
      <c r="Z14" s="127">
        <f>LN(Price!Z15/Price!Z14)</f>
        <v>4.4710173346013335E-2</v>
      </c>
      <c r="AA14" s="127">
        <f>LN(Price!AA15/Price!AA14)</f>
        <v>0.11853860803838132</v>
      </c>
      <c r="AB14" s="127">
        <f>LN(Price!AB15/Price!AB14)</f>
        <v>-8.880176756859098E-3</v>
      </c>
      <c r="AC14" s="127">
        <f>LN(Price!AC15/Price!AC14)</f>
        <v>4.4864528742275707E-2</v>
      </c>
      <c r="AD14" s="127">
        <f>LN(Price!AD15/Price!AD14)</f>
        <v>9.357471389211261E-2</v>
      </c>
      <c r="AE14" s="127">
        <f>LN(Price!AE15/Price!AE14)</f>
        <v>6.4924198666846573E-3</v>
      </c>
      <c r="AF14" s="127">
        <f>LN(Price!AF15/Price!AF14)</f>
        <v>4.7875384192668027E-2</v>
      </c>
      <c r="AG14" s="96"/>
    </row>
    <row r="15" spans="1:33" x14ac:dyDescent="0.3">
      <c r="A15" s="126">
        <v>42339</v>
      </c>
      <c r="B15" s="127">
        <f>LN(Price!B16/Price!B15)</f>
        <v>-2.4852229070836621E-2</v>
      </c>
      <c r="C15" s="127">
        <f>LN(Price!C16/Price!C15)</f>
        <v>1.6585378289814195E-2</v>
      </c>
      <c r="D15" s="127">
        <f>LN(Price!D16/Price!D15)</f>
        <v>0.10536051565782614</v>
      </c>
      <c r="E15" s="127">
        <f>LN(Price!E16/Price!E15)</f>
        <v>-1.635503103993596E-2</v>
      </c>
      <c r="F15" s="127">
        <f>LN(Price!F16/Price!F15)</f>
        <v>-2.4759718927844641E-2</v>
      </c>
      <c r="G15" s="127">
        <f>LN(Price!G16/Price!G15)</f>
        <v>-8.7967473720750103E-2</v>
      </c>
      <c r="H15" s="127">
        <f>LN(Price!H16/Price!H15)</f>
        <v>-6.379190196294536E-2</v>
      </c>
      <c r="I15" s="127">
        <f>LN(Price!I16/Price!I15)</f>
        <v>-8.8160068198551655E-2</v>
      </c>
      <c r="J15" s="127">
        <f>LN(Price!J16/Price!J15)</f>
        <v>-3.776774214226207E-2</v>
      </c>
      <c r="K15" s="127">
        <f>LN(Price!K16/Price!K15)</f>
        <v>-5.6452552888012791E-2</v>
      </c>
      <c r="L15" s="127">
        <f>LN(Price!L16/Price!L15)</f>
        <v>2.2780028331819906E-2</v>
      </c>
      <c r="M15" s="127">
        <f>LN(Price!M16/Price!M15)</f>
        <v>-1.8512925418214757E-2</v>
      </c>
      <c r="N15" s="127">
        <f>LN(Price!N16/Price!N15)</f>
        <v>6.6205478055889194E-3</v>
      </c>
      <c r="O15" s="127">
        <f>LN(Price!O16/Price!O15)</f>
        <v>0.13843202862352483</v>
      </c>
      <c r="P15" s="127">
        <f>LN(Price!P16/Price!P15)</f>
        <v>-0.14486399425905422</v>
      </c>
      <c r="Q15" s="127">
        <f>LN(Price!Q16/Price!Q15)</f>
        <v>-2.695394688734036E-2</v>
      </c>
      <c r="R15" s="127">
        <f>LN(Price!R16/Price!R15)</f>
        <v>-7.907178793012605E-2</v>
      </c>
      <c r="S15" s="127">
        <f>LN(Price!S16/Price!S15)</f>
        <v>2.4603284645949726E-3</v>
      </c>
      <c r="T15" s="127">
        <f>LN(Price!T16/Price!T15)</f>
        <v>7.2455079215422311E-2</v>
      </c>
      <c r="U15" s="127">
        <f>LN(Price!U16/Price!U15)</f>
        <v>-4.226822901791779E-2</v>
      </c>
      <c r="V15" s="127">
        <f>LN(Price!V16/Price!V15)</f>
        <v>-1.664447173078773E-2</v>
      </c>
      <c r="W15" s="127">
        <f>LN(Price!W16/Price!W15)</f>
        <v>-6.0283643091370992E-3</v>
      </c>
      <c r="X15" s="127">
        <f>LN(Price!X16/Price!X15)</f>
        <v>-7.633624855071095E-3</v>
      </c>
      <c r="Y15" s="127">
        <f>LN(Price!Y16/Price!Y15)</f>
        <v>-0.10232990990829735</v>
      </c>
      <c r="Z15" s="127">
        <f>LN(Price!Z16/Price!Z15)</f>
        <v>-1.8312701494988301E-2</v>
      </c>
      <c r="AA15" s="127">
        <f>LN(Price!AA16/Price!AA15)</f>
        <v>-6.5546077897870883E-2</v>
      </c>
      <c r="AB15" s="127">
        <f>LN(Price!AB16/Price!AB15)</f>
        <v>-1.5984356308436365E-2</v>
      </c>
      <c r="AC15" s="127">
        <f>LN(Price!AC16/Price!AC15)</f>
        <v>-2.5136164106702844E-2</v>
      </c>
      <c r="AD15" s="127">
        <f>LN(Price!AD16/Price!AD15)</f>
        <v>-9.4119821564373179E-2</v>
      </c>
      <c r="AE15" s="127">
        <f>LN(Price!AE16/Price!AE15)</f>
        <v>-2.7976267644295529E-2</v>
      </c>
      <c r="AF15" s="127">
        <f>LN(Price!AF16/Price!AF15)</f>
        <v>-5.7798056799039307E-2</v>
      </c>
      <c r="AG15" s="96"/>
    </row>
    <row r="16" spans="1:33" x14ac:dyDescent="0.3">
      <c r="A16" s="126">
        <v>42370</v>
      </c>
      <c r="B16" s="127">
        <f>LN(Price!B17/Price!B16)</f>
        <v>-4.3472574091108218E-2</v>
      </c>
      <c r="C16" s="127">
        <f>LN(Price!C17/Price!C16)</f>
        <v>-0.22407856774511634</v>
      </c>
      <c r="D16" s="127">
        <f>LN(Price!D17/Price!D16)</f>
        <v>-2.3609865639133736E-2</v>
      </c>
      <c r="E16" s="127">
        <f>LN(Price!E17/Price!E16)</f>
        <v>-2.5926193140001596E-3</v>
      </c>
      <c r="F16" s="127">
        <f>LN(Price!F17/Price!F16)</f>
        <v>-9.5524204540286262E-2</v>
      </c>
      <c r="G16" s="127">
        <f>LN(Price!G17/Price!G16)</f>
        <v>-1.9064810189523211E-2</v>
      </c>
      <c r="H16" s="127">
        <f>LN(Price!H17/Price!H16)</f>
        <v>-0.15062582598382282</v>
      </c>
      <c r="I16" s="127">
        <f>LN(Price!I17/Price!I16)</f>
        <v>-0.18992969845356203</v>
      </c>
      <c r="J16" s="127">
        <f>LN(Price!J17/Price!J16)</f>
        <v>-9.5458229253111176E-2</v>
      </c>
      <c r="K16" s="127">
        <f>LN(Price!K17/Price!K16)</f>
        <v>-0.24180476328517103</v>
      </c>
      <c r="L16" s="127">
        <f>LN(Price!L17/Price!L16)</f>
        <v>-5.2461135110040059E-2</v>
      </c>
      <c r="M16" s="127">
        <f>LN(Price!M17/Price!M16)</f>
        <v>5.485717312429441E-2</v>
      </c>
      <c r="N16" s="127">
        <f>LN(Price!N17/Price!N16)</f>
        <v>-0.17956590897098823</v>
      </c>
      <c r="O16" s="127">
        <f>LN(Price!O17/Price!O16)</f>
        <v>-0.10832222715215448</v>
      </c>
      <c r="P16" s="127">
        <f>LN(Price!P17/Price!P16)</f>
        <v>-0.15906469462968739</v>
      </c>
      <c r="Q16" s="127">
        <f>LN(Price!Q17/Price!Q16)</f>
        <v>-1.9095346830002063E-2</v>
      </c>
      <c r="R16" s="127">
        <f>LN(Price!R17/Price!R16)</f>
        <v>-0.11199430748013871</v>
      </c>
      <c r="S16" s="127">
        <f>LN(Price!S17/Price!S16)</f>
        <v>-3.4753497533284959E-2</v>
      </c>
      <c r="T16" s="127">
        <f>LN(Price!T17/Price!T16)</f>
        <v>9.4821301769655114E-2</v>
      </c>
      <c r="U16" s="127">
        <f>LN(Price!U17/Price!U16)</f>
        <v>-6.3695369475648245E-2</v>
      </c>
      <c r="V16" s="127">
        <f>LN(Price!V17/Price!V16)</f>
        <v>-5.4956679085096043E-2</v>
      </c>
      <c r="W16" s="127">
        <f>LN(Price!W17/Price!W16)</f>
        <v>4.9445454128056086E-2</v>
      </c>
      <c r="X16" s="127">
        <f>LN(Price!X17/Price!X16)</f>
        <v>5.4671999032888101E-2</v>
      </c>
      <c r="Y16" s="127">
        <f>LN(Price!Y17/Price!Y16)</f>
        <v>-0.14621655215183832</v>
      </c>
      <c r="Z16" s="127">
        <f>LN(Price!Z17/Price!Z16)</f>
        <v>-0.15348290016972191</v>
      </c>
      <c r="AA16" s="127">
        <f>LN(Price!AA17/Price!AA16)</f>
        <v>-0.12954549128729881</v>
      </c>
      <c r="AB16" s="127">
        <f>LN(Price!AB17/Price!AB16)</f>
        <v>-6.5008587962867154E-2</v>
      </c>
      <c r="AC16" s="127">
        <f>LN(Price!AC17/Price!AC16)</f>
        <v>-5.6057384836203511E-2</v>
      </c>
      <c r="AD16" s="127">
        <f>LN(Price!AD17/Price!AD16)</f>
        <v>-0.25302956084448908</v>
      </c>
      <c r="AE16" s="127">
        <f>LN(Price!AE17/Price!AE16)</f>
        <v>-7.6400777797710845E-2</v>
      </c>
      <c r="AF16" s="127">
        <f>LN(Price!AF17/Price!AF16)</f>
        <v>-9.2065800588318758E-2</v>
      </c>
      <c r="AG16" s="96"/>
    </row>
    <row r="17" spans="1:33" x14ac:dyDescent="0.3">
      <c r="A17" s="126">
        <v>42401</v>
      </c>
      <c r="B17" s="127">
        <f>LN(Price!B18/Price!B17)</f>
        <v>-3.9668662613212467E-2</v>
      </c>
      <c r="C17" s="127">
        <f>LN(Price!C18/Price!C17)</f>
        <v>7.455766131343234E-3</v>
      </c>
      <c r="D17" s="127">
        <f>LN(Price!D18/Price!D17)</f>
        <v>0.15317506999377736</v>
      </c>
      <c r="E17" s="127">
        <f>LN(Price!E18/Price!E17)</f>
        <v>-4.5421067977905967E-2</v>
      </c>
      <c r="F17" s="127">
        <f>LN(Price!F18/Price!F17)</f>
        <v>-7.9790469054466712E-2</v>
      </c>
      <c r="G17" s="127">
        <f>LN(Price!G18/Price!G17)</f>
        <v>-3.1306460095151034E-2</v>
      </c>
      <c r="H17" s="127">
        <f>LN(Price!H18/Price!H17)</f>
        <v>-1.7619611004982154E-2</v>
      </c>
      <c r="I17" s="127">
        <f>LN(Price!I18/Price!I17)</f>
        <v>-1.6659194011091508E-2</v>
      </c>
      <c r="J17" s="127">
        <f>LN(Price!J18/Price!J17)</f>
        <v>-8.5827594667311505E-2</v>
      </c>
      <c r="K17" s="127">
        <f>LN(Price!K18/Price!K17)</f>
        <v>-1.9893943753425371E-2</v>
      </c>
      <c r="L17" s="127">
        <f>LN(Price!L18/Price!L17)</f>
        <v>0.13824456975978194</v>
      </c>
      <c r="M17" s="127">
        <f>LN(Price!M18/Price!M17)</f>
        <v>3.5984031209078594E-2</v>
      </c>
      <c r="N17" s="127">
        <f>LN(Price!N18/Price!N17)</f>
        <v>9.2890985908046318E-3</v>
      </c>
      <c r="O17" s="127">
        <f>LN(Price!O18/Price!O17)</f>
        <v>1.6807118316381191E-2</v>
      </c>
      <c r="P17" s="127">
        <f>LN(Price!P18/Price!P17)</f>
        <v>4.7146778425702078E-2</v>
      </c>
      <c r="Q17" s="127">
        <f>LN(Price!Q18/Price!Q17)</f>
        <v>2.5032154908006077E-2</v>
      </c>
      <c r="R17" s="127">
        <f>LN(Price!R18/Price!R17)</f>
        <v>-2.1074664764134627E-2</v>
      </c>
      <c r="S17" s="127">
        <f>LN(Price!S18/Price!S17)</f>
        <v>-3.1531233420968342E-2</v>
      </c>
      <c r="T17" s="127">
        <f>LN(Price!T18/Price!T17)</f>
        <v>-0.19958462421773523</v>
      </c>
      <c r="U17" s="127">
        <f>LN(Price!U18/Price!U17)</f>
        <v>-5.0993291642979941E-3</v>
      </c>
      <c r="V17" s="127">
        <f>LN(Price!V18/Price!V17)</f>
        <v>5.3465066696332881E-3</v>
      </c>
      <c r="W17" s="127">
        <f>LN(Price!W18/Price!W17)</f>
        <v>-4.8930984663332483E-2</v>
      </c>
      <c r="X17" s="127">
        <f>LN(Price!X18/Price!X17)</f>
        <v>-0.11657457629481498</v>
      </c>
      <c r="Y17" s="127">
        <f>LN(Price!Y18/Price!Y17)</f>
        <v>-1.5171794975650471E-2</v>
      </c>
      <c r="Z17" s="127">
        <f>LN(Price!Z18/Price!Z17)</f>
        <v>-4.2424177295273362E-2</v>
      </c>
      <c r="AA17" s="127">
        <f>LN(Price!AA18/Price!AA17)</f>
        <v>-0.13475613252041851</v>
      </c>
      <c r="AB17" s="127">
        <f>LN(Price!AB18/Price!AB17)</f>
        <v>5.8947963351176191E-2</v>
      </c>
      <c r="AC17" s="127">
        <f>LN(Price!AC18/Price!AC17)</f>
        <v>2.4346877451976324E-2</v>
      </c>
      <c r="AD17" s="127">
        <f>LN(Price!AD18/Price!AD17)</f>
        <v>9.249723842771003E-2</v>
      </c>
      <c r="AE17" s="127">
        <f>LN(Price!AE18/Price!AE17)</f>
        <v>-8.3523644255260737E-3</v>
      </c>
      <c r="AF17" s="127">
        <f>LN(Price!AF18/Price!AF17)</f>
        <v>-3.1382039121932978E-2</v>
      </c>
      <c r="AG17" s="96"/>
    </row>
    <row r="18" spans="1:33" x14ac:dyDescent="0.3">
      <c r="A18" s="126">
        <v>42430</v>
      </c>
      <c r="B18" s="127">
        <f>LN(Price!B19/Price!B18)</f>
        <v>5.7424064225171323E-2</v>
      </c>
      <c r="C18" s="127">
        <f>LN(Price!C19/Price!C18)</f>
        <v>3.7809103773795746E-2</v>
      </c>
      <c r="D18" s="127">
        <f>LN(Price!D19/Price!D18)</f>
        <v>0.13279906011284728</v>
      </c>
      <c r="E18" s="127">
        <f>LN(Price!E19/Price!E18)</f>
        <v>1.6449605173965411E-2</v>
      </c>
      <c r="F18" s="127">
        <f>LN(Price!F19/Price!F18)</f>
        <v>4.0690838378680802E-2</v>
      </c>
      <c r="G18" s="127">
        <f>LN(Price!G19/Price!G18)</f>
        <v>8.6134824705601645E-2</v>
      </c>
      <c r="H18" s="127">
        <f>LN(Price!H19/Price!H18)</f>
        <v>0.10709101383547449</v>
      </c>
      <c r="I18" s="127">
        <f>LN(Price!I19/Price!I18)</f>
        <v>6.547904542540095E-2</v>
      </c>
      <c r="J18" s="127">
        <f>LN(Price!J19/Price!J18)</f>
        <v>0.10438399642713495</v>
      </c>
      <c r="K18" s="127">
        <f>LN(Price!K19/Price!K18)</f>
        <v>7.1252459076919572E-2</v>
      </c>
      <c r="L18" s="127">
        <f>LN(Price!L19/Price!L18)</f>
        <v>-0.11122563511022437</v>
      </c>
      <c r="M18" s="127">
        <f>LN(Price!M19/Price!M18)</f>
        <v>4.5078613899581323E-2</v>
      </c>
      <c r="N18" s="127">
        <f>LN(Price!N19/Price!N18)</f>
        <v>7.1140082517493944E-2</v>
      </c>
      <c r="O18" s="127">
        <f>LN(Price!O19/Price!O18)</f>
        <v>6.8437161553228473E-2</v>
      </c>
      <c r="P18" s="127">
        <f>LN(Price!P19/Price!P18)</f>
        <v>1.5234244571847987E-2</v>
      </c>
      <c r="Q18" s="127">
        <f>LN(Price!Q19/Price!Q18)</f>
        <v>9.6512293137533955E-2</v>
      </c>
      <c r="R18" s="127">
        <f>LN(Price!R19/Price!R18)</f>
        <v>-6.7254445007335281E-2</v>
      </c>
      <c r="S18" s="127">
        <f>LN(Price!S19/Price!S18)</f>
        <v>-1.5612913071398822E-2</v>
      </c>
      <c r="T18" s="127">
        <f>LN(Price!T19/Price!T18)</f>
        <v>7.567036150641529E-2</v>
      </c>
      <c r="U18" s="127">
        <f>LN(Price!U19/Price!U18)</f>
        <v>2.1377680350448845E-3</v>
      </c>
      <c r="V18" s="127">
        <f>LN(Price!V19/Price!V18)</f>
        <v>0.1142218758868512</v>
      </c>
      <c r="W18" s="127">
        <f>LN(Price!W19/Price!W18)</f>
        <v>8.9968517089783246E-4</v>
      </c>
      <c r="X18" s="127">
        <f>LN(Price!X19/Price!X18)</f>
        <v>5.4200674693391133E-3</v>
      </c>
      <c r="Y18" s="127">
        <f>LN(Price!Y19/Price!Y18)</f>
        <v>9.6849825989917621E-2</v>
      </c>
      <c r="Z18" s="127">
        <f>LN(Price!Z19/Price!Z18)</f>
        <v>8.0126044479284883E-2</v>
      </c>
      <c r="AA18" s="127">
        <f>LN(Price!AA19/Price!AA18)</f>
        <v>0.18255495625819554</v>
      </c>
      <c r="AB18" s="127">
        <f>LN(Price!AB19/Price!AB18)</f>
        <v>-1.6858636824416542E-2</v>
      </c>
      <c r="AC18" s="127">
        <f>LN(Price!AC19/Price!AC18)</f>
        <v>-8.8155455688752569E-3</v>
      </c>
      <c r="AD18" s="127">
        <f>LN(Price!AD19/Price!AD18)</f>
        <v>0.1561607307552827</v>
      </c>
      <c r="AE18" s="127">
        <f>LN(Price!AE19/Price!AE18)</f>
        <v>0.13462686557349349</v>
      </c>
      <c r="AF18" s="127">
        <f>LN(Price!AF19/Price!AF18)</f>
        <v>4.8322660669689536E-2</v>
      </c>
      <c r="AG18" s="96"/>
    </row>
    <row r="19" spans="1:33" x14ac:dyDescent="0.3">
      <c r="A19" s="126">
        <v>42461</v>
      </c>
      <c r="B19" s="127">
        <f>LN(Price!B20/Price!B19)</f>
        <v>2.6957657555052264E-2</v>
      </c>
      <c r="C19" s="127">
        <f>LN(Price!C20/Price!C19)</f>
        <v>0.12268828517983554</v>
      </c>
      <c r="D19" s="127">
        <f>LN(Price!D20/Price!D19)</f>
        <v>8.3586716108265777E-2</v>
      </c>
      <c r="E19" s="127">
        <f>LN(Price!E20/Price!E19)</f>
        <v>-3.9884787328880816E-2</v>
      </c>
      <c r="F19" s="127">
        <f>LN(Price!F20/Price!F19)</f>
        <v>3.6405119109514002E-2</v>
      </c>
      <c r="G19" s="127">
        <f>LN(Price!G20/Price!G19)</f>
        <v>-2.2034483667059349E-2</v>
      </c>
      <c r="H19" s="127">
        <f>LN(Price!H20/Price!H19)</f>
        <v>4.8751163369910588E-2</v>
      </c>
      <c r="I19" s="127">
        <f>LN(Price!I20/Price!I19)</f>
        <v>-0.10442087512480483</v>
      </c>
      <c r="J19" s="127">
        <f>LN(Price!J20/Price!J19)</f>
        <v>-6.4154189562000245E-3</v>
      </c>
      <c r="K19" s="127">
        <f>LN(Price!K20/Price!K19)</f>
        <v>-2.4813908513855094E-3</v>
      </c>
      <c r="L19" s="127">
        <f>LN(Price!L20/Price!L19)</f>
        <v>-2.5924044029230587E-2</v>
      </c>
      <c r="M19" s="127">
        <f>LN(Price!M20/Price!M19)</f>
        <v>8.9112727475954237E-2</v>
      </c>
      <c r="N19" s="127">
        <f>LN(Price!N20/Price!N19)</f>
        <v>7.3208599287292314E-2</v>
      </c>
      <c r="O19" s="127">
        <f>LN(Price!O20/Price!O19)</f>
        <v>-3.9687748267242459E-2</v>
      </c>
      <c r="P19" s="127">
        <f>LN(Price!P20/Price!P19)</f>
        <v>3.6059049815702425E-2</v>
      </c>
      <c r="Q19" s="127">
        <f>LN(Price!Q20/Price!Q19)</f>
        <v>-7.3451556886731384E-2</v>
      </c>
      <c r="R19" s="127">
        <f>LN(Price!R20/Price!R19)</f>
        <v>0.11287551640612487</v>
      </c>
      <c r="S19" s="127">
        <f>LN(Price!S20/Price!S19)</f>
        <v>-4.5003503448517099E-2</v>
      </c>
      <c r="T19" s="127">
        <f>LN(Price!T20/Price!T19)</f>
        <v>0.13686990951111966</v>
      </c>
      <c r="U19" s="127">
        <f>LN(Price!U20/Price!U19)</f>
        <v>-2.2435108098719597E-2</v>
      </c>
      <c r="V19" s="127">
        <f>LN(Price!V20/Price!V19)</f>
        <v>-2.1450526597960987E-2</v>
      </c>
      <c r="W19" s="127">
        <f>LN(Price!W20/Price!W19)</f>
        <v>-2.7216993488271092E-2</v>
      </c>
      <c r="X19" s="127">
        <f>LN(Price!X20/Price!X19)</f>
        <v>6.5382759262851711E-2</v>
      </c>
      <c r="Y19" s="127">
        <f>LN(Price!Y20/Price!Y19)</f>
        <v>8.4557388028063174E-2</v>
      </c>
      <c r="Z19" s="127">
        <f>LN(Price!Z20/Price!Z19)</f>
        <v>-4.1864204098698753E-2</v>
      </c>
      <c r="AA19" s="127">
        <f>LN(Price!AA20/Price!AA19)</f>
        <v>1.8497637241822407E-2</v>
      </c>
      <c r="AB19" s="127">
        <f>LN(Price!AB20/Price!AB19)</f>
        <v>2.4931334549527843E-2</v>
      </c>
      <c r="AC19" s="127">
        <f>LN(Price!AC20/Price!AC19)</f>
        <v>-9.3820592637256214E-2</v>
      </c>
      <c r="AD19" s="127">
        <f>LN(Price!AD20/Price!AD19)</f>
        <v>0.10640050042547072</v>
      </c>
      <c r="AE19" s="127">
        <f>LN(Price!AE20/Price!AE19)</f>
        <v>-3.4924722559739482E-2</v>
      </c>
      <c r="AF19" s="127">
        <f>LN(Price!AF20/Price!AF19)</f>
        <v>7.3443878773759913E-3</v>
      </c>
      <c r="AG19" s="96"/>
    </row>
    <row r="20" spans="1:33" x14ac:dyDescent="0.3">
      <c r="A20" s="126">
        <v>42491</v>
      </c>
      <c r="B20" s="127">
        <f>LN(Price!B21/Price!B20)</f>
        <v>6.0352775480873685E-2</v>
      </c>
      <c r="C20" s="127">
        <f>LN(Price!C21/Price!C20)</f>
        <v>6.0601361945525956E-2</v>
      </c>
      <c r="D20" s="127">
        <f>LN(Price!D21/Price!D20)</f>
        <v>-0.36956084621489049</v>
      </c>
      <c r="E20" s="127">
        <f>LN(Price!E21/Price!E20)</f>
        <v>6.5708796285761595E-2</v>
      </c>
      <c r="F20" s="127">
        <f>LN(Price!F21/Price!F20)</f>
        <v>-1.0510352728898885E-2</v>
      </c>
      <c r="G20" s="127">
        <f>LN(Price!G21/Price!G20)</f>
        <v>6.035245255412397E-2</v>
      </c>
      <c r="H20" s="127">
        <f>LN(Price!H21/Price!H20)</f>
        <v>2.2368846283084436E-2</v>
      </c>
      <c r="I20" s="127">
        <f>LN(Price!I21/Price!I20)</f>
        <v>1.146801559164129E-2</v>
      </c>
      <c r="J20" s="127">
        <f>LN(Price!J21/Price!J20)</f>
        <v>8.1094199961541352E-2</v>
      </c>
      <c r="K20" s="127">
        <f>LN(Price!K21/Price!K20)</f>
        <v>-5.8972261008696215E-2</v>
      </c>
      <c r="L20" s="127">
        <f>LN(Price!L21/Price!L20)</f>
        <v>3.3889392807915031E-2</v>
      </c>
      <c r="M20" s="127">
        <f>LN(Price!M21/Price!M20)</f>
        <v>2.2393910561104298E-2</v>
      </c>
      <c r="N20" s="127">
        <f>LN(Price!N21/Price!N20)</f>
        <v>1.5475772108379889E-2</v>
      </c>
      <c r="O20" s="127">
        <f>LN(Price!O21/Price!O20)</f>
        <v>-8.2238098236972229E-2</v>
      </c>
      <c r="P20" s="127">
        <f>LN(Price!P21/Price!P20)</f>
        <v>0.10097591734000218</v>
      </c>
      <c r="Q20" s="127">
        <f>LN(Price!Q21/Price!Q20)</f>
        <v>4.7184832177750442E-2</v>
      </c>
      <c r="R20" s="127">
        <f>LN(Price!R21/Price!R20)</f>
        <v>9.1681418754921876E-2</v>
      </c>
      <c r="S20" s="127">
        <f>LN(Price!S21/Price!S20)</f>
        <v>9.3927009840961667E-2</v>
      </c>
      <c r="T20" s="127">
        <f>LN(Price!T21/Price!T20)</f>
        <v>-0.10330666843855113</v>
      </c>
      <c r="U20" s="127">
        <f>LN(Price!U21/Price!U20)</f>
        <v>2.9528174839205171E-2</v>
      </c>
      <c r="V20" s="127">
        <f>LN(Price!V21/Price!V20)</f>
        <v>7.626852033282823E-2</v>
      </c>
      <c r="W20" s="127">
        <f>LN(Price!W21/Price!W20)</f>
        <v>2.9270382300113237E-2</v>
      </c>
      <c r="X20" s="127">
        <f>LN(Price!X21/Price!X20)</f>
        <v>-1.9169916107720172E-2</v>
      </c>
      <c r="Y20" s="127">
        <f>LN(Price!Y21/Price!Y20)</f>
        <v>-3.8428234454697834E-2</v>
      </c>
      <c r="Z20" s="127">
        <f>LN(Price!Z21/Price!Z20)</f>
        <v>5.2002197271074982E-3</v>
      </c>
      <c r="AA20" s="127">
        <f>LN(Price!AA21/Price!AA20)</f>
        <v>6.2173182974236095E-2</v>
      </c>
      <c r="AB20" s="127">
        <f>LN(Price!AB21/Price!AB20)</f>
        <v>4.9029427240318606E-2</v>
      </c>
      <c r="AC20" s="127">
        <f>LN(Price!AC21/Price!AC20)</f>
        <v>3.7393743884851449E-2</v>
      </c>
      <c r="AD20" s="127">
        <f>LN(Price!AD21/Price!AD20)</f>
        <v>-2.5936615977818933E-2</v>
      </c>
      <c r="AE20" s="127">
        <f>LN(Price!AE21/Price!AE20)</f>
        <v>4.289024758431409E-2</v>
      </c>
      <c r="AF20" s="127">
        <f>LN(Price!AF21/Price!AF20)</f>
        <v>2.2045341260118499E-2</v>
      </c>
      <c r="AG20" s="96"/>
    </row>
    <row r="21" spans="1:33" x14ac:dyDescent="0.3">
      <c r="A21" s="126">
        <v>42522</v>
      </c>
      <c r="B21" s="127">
        <f>LN(Price!B22/Price!B21)</f>
        <v>2.7419047110173539E-2</v>
      </c>
      <c r="C21" s="127">
        <f>LN(Price!C22/Price!C21)</f>
        <v>-0.21554318105455533</v>
      </c>
      <c r="D21" s="127">
        <f>LN(Price!D22/Price!D21)</f>
        <v>-0.1004427830308452</v>
      </c>
      <c r="E21" s="127">
        <f>LN(Price!E22/Price!E21)</f>
        <v>-8.2833513556735794E-2</v>
      </c>
      <c r="F21" s="127">
        <f>LN(Price!F22/Price!F21)</f>
        <v>-0.1379231432055015</v>
      </c>
      <c r="G21" s="127">
        <f>LN(Price!G22/Price!G21)</f>
        <v>-5.2832708205194159E-2</v>
      </c>
      <c r="H21" s="127">
        <f>LN(Price!H22/Price!H21)</f>
        <v>-4.0472449719352661E-2</v>
      </c>
      <c r="I21" s="127">
        <f>LN(Price!I22/Price!I21)</f>
        <v>-0.13719153961943195</v>
      </c>
      <c r="J21" s="127">
        <f>LN(Price!J22/Price!J21)</f>
        <v>-3.7797394208217046E-2</v>
      </c>
      <c r="K21" s="127">
        <f>LN(Price!K22/Price!K21)</f>
        <v>-0.14281707231791477</v>
      </c>
      <c r="L21" s="127">
        <f>LN(Price!L22/Price!L21)</f>
        <v>8.0422368695045918E-2</v>
      </c>
      <c r="M21" s="127">
        <f>LN(Price!M22/Price!M21)</f>
        <v>0.10930409728919825</v>
      </c>
      <c r="N21" s="127">
        <f>LN(Price!N22/Price!N21)</f>
        <v>-0.17994007471017251</v>
      </c>
      <c r="O21" s="127">
        <f>LN(Price!O22/Price!O21)</f>
        <v>3.4560675065467429E-2</v>
      </c>
      <c r="P21" s="127">
        <f>LN(Price!P22/Price!P21)</f>
        <v>-1.8850146957712238E-3</v>
      </c>
      <c r="Q21" s="127">
        <f>LN(Price!Q22/Price!Q21)</f>
        <v>6.1063649472684486E-2</v>
      </c>
      <c r="R21" s="127">
        <f>LN(Price!R22/Price!R21)</f>
        <v>1.2154845777074806E-2</v>
      </c>
      <c r="S21" s="127">
        <f>LN(Price!S22/Price!S21)</f>
        <v>-6.844880183261641E-2</v>
      </c>
      <c r="T21" s="127">
        <f>LN(Price!T22/Price!T21)</f>
        <v>0.18810320509862799</v>
      </c>
      <c r="U21" s="127">
        <f>LN(Price!U22/Price!U21)</f>
        <v>-1.3042632124681314E-2</v>
      </c>
      <c r="V21" s="127">
        <f>LN(Price!V22/Price!V21)</f>
        <v>5.5906813071942688E-2</v>
      </c>
      <c r="W21" s="127">
        <f>LN(Price!W22/Price!W21)</f>
        <v>3.8454143907817282E-4</v>
      </c>
      <c r="X21" s="127">
        <f>LN(Price!X22/Price!X21)</f>
        <v>2.1698362461078893E-2</v>
      </c>
      <c r="Y21" s="127">
        <f>LN(Price!Y22/Price!Y21)</f>
        <v>-1.1443595585475214E-2</v>
      </c>
      <c r="Z21" s="127">
        <f>LN(Price!Z22/Price!Z21)</f>
        <v>-0.12998109303735561</v>
      </c>
      <c r="AA21" s="127">
        <f>LN(Price!AA22/Price!AA21)</f>
        <v>-7.1379231881959007E-2</v>
      </c>
      <c r="AB21" s="127">
        <f>LN(Price!AB22/Price!AB21)</f>
        <v>-3.8531955186204628E-2</v>
      </c>
      <c r="AC21" s="127">
        <f>LN(Price!AC22/Price!AC21)</f>
        <v>-0.11619076707832002</v>
      </c>
      <c r="AD21" s="127">
        <f>LN(Price!AD22/Price!AD21)</f>
        <v>-9.4249600426609501E-2</v>
      </c>
      <c r="AE21" s="127">
        <f>LN(Price!AE22/Price!AE21)</f>
        <v>-0.1274577846510096</v>
      </c>
      <c r="AF21" s="127">
        <f>LN(Price!AF22/Price!AF21)</f>
        <v>-5.8448661853665082E-2</v>
      </c>
      <c r="AG21" s="96"/>
    </row>
    <row r="22" spans="1:33" x14ac:dyDescent="0.3">
      <c r="A22" s="126">
        <v>42552</v>
      </c>
      <c r="B22" s="127">
        <f>LN(Price!B23/Price!B22)</f>
        <v>2.3715018589855492E-3</v>
      </c>
      <c r="C22" s="127">
        <f>LN(Price!C23/Price!C22)</f>
        <v>0.14978819025939524</v>
      </c>
      <c r="D22" s="127">
        <f>LN(Price!D23/Price!D22)</f>
        <v>-4.6340337258701965E-2</v>
      </c>
      <c r="E22" s="127">
        <f>LN(Price!E23/Price!E22)</f>
        <v>0.15487363803349055</v>
      </c>
      <c r="F22" s="127">
        <f>LN(Price!F23/Price!F22)</f>
        <v>3.9047296781564811E-3</v>
      </c>
      <c r="G22" s="127">
        <f>LN(Price!G23/Price!G22)</f>
        <v>5.6265205854518385E-2</v>
      </c>
      <c r="H22" s="127">
        <f>LN(Price!H23/Price!H22)</f>
        <v>5.8238934800231686E-2</v>
      </c>
      <c r="I22" s="127">
        <f>LN(Price!I23/Price!I22)</f>
        <v>0.12786326642924561</v>
      </c>
      <c r="J22" s="127">
        <f>LN(Price!J23/Price!J22)</f>
        <v>0.13121746949412541</v>
      </c>
      <c r="K22" s="127">
        <f>LN(Price!K23/Price!K22)</f>
        <v>0.15798671066821812</v>
      </c>
      <c r="L22" s="127">
        <f>LN(Price!L23/Price!L22)</f>
        <v>4.5632270891962361E-2</v>
      </c>
      <c r="M22" s="127">
        <f>LN(Price!M23/Price!M22)</f>
        <v>0.13319073515231336</v>
      </c>
      <c r="N22" s="127">
        <f>LN(Price!N23/Price!N22)</f>
        <v>0.12554725768099245</v>
      </c>
      <c r="O22" s="127">
        <f>LN(Price!O23/Price!O22)</f>
        <v>8.7365171438747335E-2</v>
      </c>
      <c r="P22" s="127">
        <f>LN(Price!P23/Price!P22)</f>
        <v>0.33647223662121301</v>
      </c>
      <c r="Q22" s="127">
        <f>LN(Price!Q23/Price!Q22)</f>
        <v>7.9220290896875753E-2</v>
      </c>
      <c r="R22" s="127">
        <f>LN(Price!R23/Price!R22)</f>
        <v>8.1283858303361933E-2</v>
      </c>
      <c r="S22" s="127">
        <f>LN(Price!S23/Price!S22)</f>
        <v>2.1124229824794411E-2</v>
      </c>
      <c r="T22" s="127">
        <f>LN(Price!T23/Price!T22)</f>
        <v>0.11375093803152904</v>
      </c>
      <c r="U22" s="127">
        <f>LN(Price!U23/Price!U22)</f>
        <v>8.6931809834909265E-2</v>
      </c>
      <c r="V22" s="127">
        <f>LN(Price!V23/Price!V22)</f>
        <v>9.223843887448796E-2</v>
      </c>
      <c r="W22" s="127">
        <f>LN(Price!W23/Price!W22)</f>
        <v>4.6694758326724442E-2</v>
      </c>
      <c r="X22" s="127">
        <f>LN(Price!X23/Price!X22)</f>
        <v>6.0030268158522179E-2</v>
      </c>
      <c r="Y22" s="127">
        <f>LN(Price!Y23/Price!Y22)</f>
        <v>2.3327191657974287E-2</v>
      </c>
      <c r="Z22" s="127">
        <f>LN(Price!Z23/Price!Z22)</f>
        <v>0.10210655627137584</v>
      </c>
      <c r="AA22" s="127">
        <f>LN(Price!AA23/Price!AA22)</f>
        <v>4.6309799111100038E-2</v>
      </c>
      <c r="AB22" s="127">
        <f>LN(Price!AB23/Price!AB22)</f>
        <v>0.10292094361321688</v>
      </c>
      <c r="AC22" s="127">
        <f>LN(Price!AC23/Price!AC22)</f>
        <v>-5.8780477841909448E-3</v>
      </c>
      <c r="AD22" s="127">
        <f>LN(Price!AD23/Price!AD22)</f>
        <v>0.12949772695649767</v>
      </c>
      <c r="AE22" s="127">
        <f>LN(Price!AE23/Price!AE22)</f>
        <v>1.0831104950686222E-2</v>
      </c>
      <c r="AF22" s="127">
        <f>LN(Price!AF23/Price!AF22)</f>
        <v>6.5706861583884557E-2</v>
      </c>
      <c r="AG22" s="96"/>
    </row>
    <row r="23" spans="1:33" x14ac:dyDescent="0.3">
      <c r="A23" s="126">
        <v>42583</v>
      </c>
      <c r="B23" s="127">
        <f>LN(Price!B24/Price!B23)</f>
        <v>3.5907776788521403E-2</v>
      </c>
      <c r="C23" s="127">
        <f>LN(Price!C24/Price!C23)</f>
        <v>-1.0387628361577811E-2</v>
      </c>
      <c r="D23" s="127">
        <f>LN(Price!D24/Price!D23)</f>
        <v>2.3438572972017596E-2</v>
      </c>
      <c r="E23" s="127">
        <f>LN(Price!E24/Price!E23)</f>
        <v>4.4537835280944104E-3</v>
      </c>
      <c r="F23" s="127">
        <f>LN(Price!F24/Price!F23)</f>
        <v>4.0104667934379064E-2</v>
      </c>
      <c r="G23" s="127">
        <f>LN(Price!G24/Price!G23)</f>
        <v>9.7332949613079464E-2</v>
      </c>
      <c r="H23" s="127">
        <f>LN(Price!H24/Price!H23)</f>
        <v>6.2100181750727478E-2</v>
      </c>
      <c r="I23" s="127">
        <f>LN(Price!I24/Price!I23)</f>
        <v>2.0505193625744798E-2</v>
      </c>
      <c r="J23" s="127">
        <f>LN(Price!J24/Price!J23)</f>
        <v>2.0067563050809173E-2</v>
      </c>
      <c r="K23" s="127">
        <f>LN(Price!K24/Price!K23)</f>
        <v>1.2382461834097193E-2</v>
      </c>
      <c r="L23" s="127">
        <f>LN(Price!L24/Price!L23)</f>
        <v>-2.7895591800608258E-2</v>
      </c>
      <c r="M23" s="127">
        <f>LN(Price!M24/Price!M23)</f>
        <v>1.4880220451085297E-2</v>
      </c>
      <c r="N23" s="127">
        <f>LN(Price!N24/Price!N23)</f>
        <v>-3.1205132163302781E-2</v>
      </c>
      <c r="O23" s="127">
        <f>LN(Price!O24/Price!O23)</f>
        <v>-2.7615167032973266E-2</v>
      </c>
      <c r="P23" s="127">
        <f>LN(Price!P24/Price!P23)</f>
        <v>8.2734499339247994E-2</v>
      </c>
      <c r="Q23" s="127">
        <f>LN(Price!Q24/Price!Q23)</f>
        <v>-1.6209653937357623E-2</v>
      </c>
      <c r="R23" s="127">
        <f>LN(Price!R24/Price!R23)</f>
        <v>-4.5787386620863096E-2</v>
      </c>
      <c r="S23" s="127">
        <f>LN(Price!S24/Price!S23)</f>
        <v>-4.7439725071560572E-2</v>
      </c>
      <c r="T23" s="127">
        <f>LN(Price!T24/Price!T23)</f>
        <v>-8.1032643408561325E-2</v>
      </c>
      <c r="U23" s="127">
        <f>LN(Price!U24/Price!U23)</f>
        <v>-2.6292740826209323E-3</v>
      </c>
      <c r="V23" s="127">
        <f>LN(Price!V24/Price!V23)</f>
        <v>6.5495917370417336E-3</v>
      </c>
      <c r="W23" s="127">
        <f>LN(Price!W24/Price!W23)</f>
        <v>-3.0045711369210273E-2</v>
      </c>
      <c r="X23" s="127">
        <f>LN(Price!X24/Price!X23)</f>
        <v>-0.14980026758723167</v>
      </c>
      <c r="Y23" s="127">
        <f>LN(Price!Y24/Price!Y23)</f>
        <v>3.6885992176931601E-2</v>
      </c>
      <c r="Z23" s="127">
        <f>LN(Price!Z24/Price!Z23)</f>
        <v>2.1310610089541127E-3</v>
      </c>
      <c r="AA23" s="127">
        <f>LN(Price!AA24/Price!AA23)</f>
        <v>-7.9215235553504196E-2</v>
      </c>
      <c r="AB23" s="127">
        <f>LN(Price!AB24/Price!AB23)</f>
        <v>4.9228114632166517E-3</v>
      </c>
      <c r="AC23" s="127">
        <f>LN(Price!AC24/Price!AC23)</f>
        <v>8.0913233727104905E-2</v>
      </c>
      <c r="AD23" s="127">
        <f>LN(Price!AD24/Price!AD23)</f>
        <v>1.9324272826402842E-2</v>
      </c>
      <c r="AE23" s="127">
        <f>LN(Price!AE24/Price!AE23)</f>
        <v>-2.7110094009476015E-2</v>
      </c>
      <c r="AF23" s="127">
        <f>LN(Price!AF24/Price!AF23)</f>
        <v>2.4386080227628434E-2</v>
      </c>
      <c r="AG23" s="96"/>
    </row>
    <row r="24" spans="1:33" x14ac:dyDescent="0.3">
      <c r="A24" s="126">
        <v>42614</v>
      </c>
      <c r="B24" s="127">
        <f>LN(Price!B25/Price!B24)</f>
        <v>2.8888177739582185E-2</v>
      </c>
      <c r="C24" s="127">
        <f>LN(Price!C25/Price!C24)</f>
        <v>-6.25592228745743E-2</v>
      </c>
      <c r="D24" s="127">
        <f>LN(Price!D25/Price!D24)</f>
        <v>8.6850488886958024E-2</v>
      </c>
      <c r="E24" s="127">
        <f>LN(Price!E25/Price!E24)</f>
        <v>2.7055758528619946E-2</v>
      </c>
      <c r="F24" s="127">
        <f>LN(Price!F25/Price!F24)</f>
        <v>-1.0916728027690394E-2</v>
      </c>
      <c r="G24" s="127">
        <f>LN(Price!G25/Price!G24)</f>
        <v>-2.6993184338516146E-2</v>
      </c>
      <c r="H24" s="127">
        <f>LN(Price!H25/Price!H24)</f>
        <v>-2.0633958671863479E-2</v>
      </c>
      <c r="I24" s="127">
        <f>LN(Price!I25/Price!I24)</f>
        <v>1.0097048679966277E-2</v>
      </c>
      <c r="J24" s="127">
        <f>LN(Price!J25/Price!J24)</f>
        <v>5.0365711998111018E-2</v>
      </c>
      <c r="K24" s="127">
        <f>LN(Price!K25/Price!K24)</f>
        <v>-4.1885457715908223E-2</v>
      </c>
      <c r="L24" s="127">
        <f>LN(Price!L25/Price!L24)</f>
        <v>4.2859233904293581E-2</v>
      </c>
      <c r="M24" s="127">
        <f>LN(Price!M25/Price!M24)</f>
        <v>3.6583417178509027E-2</v>
      </c>
      <c r="N24" s="127">
        <f>LN(Price!N25/Price!N24)</f>
        <v>2.200946415839198E-4</v>
      </c>
      <c r="O24" s="127">
        <f>LN(Price!O25/Price!O24)</f>
        <v>3.3434776086237419E-2</v>
      </c>
      <c r="P24" s="127">
        <f>LN(Price!P25/Price!P24)</f>
        <v>1.8439366945800048E-2</v>
      </c>
      <c r="Q24" s="127">
        <f>LN(Price!Q25/Price!Q24)</f>
        <v>-3.4119069794809567E-2</v>
      </c>
      <c r="R24" s="127">
        <f>LN(Price!R25/Price!R24)</f>
        <v>1.6504973883744164E-2</v>
      </c>
      <c r="S24" s="127">
        <f>LN(Price!S25/Price!S24)</f>
        <v>-3.0618975921570254E-2</v>
      </c>
      <c r="T24" s="127">
        <f>LN(Price!T25/Price!T24)</f>
        <v>4.4762717515968144E-2</v>
      </c>
      <c r="U24" s="127">
        <f>LN(Price!U25/Price!U24)</f>
        <v>-1.2251132755518422E-2</v>
      </c>
      <c r="V24" s="127">
        <f>LN(Price!V25/Price!V24)</f>
        <v>-4.0574745168025186E-2</v>
      </c>
      <c r="W24" s="127">
        <f>LN(Price!W25/Price!W24)</f>
        <v>-2.011525493400047E-2</v>
      </c>
      <c r="X24" s="127">
        <f>LN(Price!X25/Price!X24)</f>
        <v>-0.13748552984450332</v>
      </c>
      <c r="Y24" s="127">
        <f>LN(Price!Y25/Price!Y24)</f>
        <v>4.3091023264687549E-2</v>
      </c>
      <c r="Z24" s="127">
        <f>LN(Price!Z25/Price!Z24)</f>
        <v>-3.9994720689816932E-3</v>
      </c>
      <c r="AA24" s="127">
        <f>LN(Price!AA25/Price!AA24)</f>
        <v>-3.5906681307284844E-3</v>
      </c>
      <c r="AB24" s="127">
        <f>LN(Price!AB25/Price!AB24)</f>
        <v>6.1044701637777192E-2</v>
      </c>
      <c r="AC24" s="127">
        <f>LN(Price!AC25/Price!AC24)</f>
        <v>2.4715216824145469E-2</v>
      </c>
      <c r="AD24" s="127">
        <f>LN(Price!AD25/Price!AD24)</f>
        <v>1.5194974215071703E-2</v>
      </c>
      <c r="AE24" s="127">
        <f>LN(Price!AE25/Price!AE24)</f>
        <v>3.5617635612893148E-2</v>
      </c>
      <c r="AF24" s="127">
        <f>LN(Price!AF25/Price!AF24)</f>
        <v>-7.7399099695028718E-3</v>
      </c>
      <c r="AG24" s="96"/>
    </row>
    <row r="25" spans="1:33" x14ac:dyDescent="0.3">
      <c r="A25" s="126">
        <v>42644</v>
      </c>
      <c r="B25" s="127">
        <f>LN(Price!B26/Price!B25)</f>
        <v>-3.237163485749283E-2</v>
      </c>
      <c r="C25" s="127">
        <f>LN(Price!C26/Price!C25)</f>
        <v>6.8165965635810094E-2</v>
      </c>
      <c r="D25" s="127">
        <f>LN(Price!D26/Price!D25)</f>
        <v>0.18084554176583387</v>
      </c>
      <c r="E25" s="127">
        <f>LN(Price!E26/Price!E25)</f>
        <v>-8.4388686458647076E-3</v>
      </c>
      <c r="F25" s="127">
        <f>LN(Price!F26/Price!F25)</f>
        <v>7.2267846072981229E-2</v>
      </c>
      <c r="G25" s="127">
        <f>LN(Price!G26/Price!G25)</f>
        <v>-7.1585326262492881E-3</v>
      </c>
      <c r="H25" s="127">
        <f>LN(Price!H26/Price!H25)</f>
        <v>1.463005577010118E-2</v>
      </c>
      <c r="I25" s="127">
        <f>LN(Price!I26/Price!I25)</f>
        <v>3.4480770490447739E-2</v>
      </c>
      <c r="J25" s="127">
        <f>LN(Price!J26/Price!J25)</f>
        <v>2.9778875355611172E-2</v>
      </c>
      <c r="K25" s="127">
        <f>LN(Price!K26/Price!K25)</f>
        <v>5.9168897218470601E-2</v>
      </c>
      <c r="L25" s="127">
        <f>LN(Price!L26/Price!L25)</f>
        <v>-6.3039109910952448E-2</v>
      </c>
      <c r="M25" s="127">
        <f>LN(Price!M26/Price!M25)</f>
        <v>-3.3566823639083157E-2</v>
      </c>
      <c r="N25" s="127">
        <f>LN(Price!N26/Price!N25)</f>
        <v>7.8077071767661002E-2</v>
      </c>
      <c r="O25" s="127">
        <f>LN(Price!O26/Price!O25)</f>
        <v>2.6719146733509641E-2</v>
      </c>
      <c r="P25" s="127">
        <f>LN(Price!P26/Price!P25)</f>
        <v>6.0266314456551395E-2</v>
      </c>
      <c r="Q25" s="127">
        <f>LN(Price!Q26/Price!Q25)</f>
        <v>-4.9561746247655677E-2</v>
      </c>
      <c r="R25" s="127">
        <f>LN(Price!R26/Price!R25)</f>
        <v>-2.3739047984464044E-2</v>
      </c>
      <c r="S25" s="127">
        <f>LN(Price!S26/Price!S25)</f>
        <v>-2.0358417244929625E-2</v>
      </c>
      <c r="T25" s="127">
        <f>LN(Price!T26/Price!T25)</f>
        <v>-5.9172188736119902E-2</v>
      </c>
      <c r="U25" s="127">
        <f>LN(Price!U26/Price!U25)</f>
        <v>5.4353570870027998E-2</v>
      </c>
      <c r="V25" s="127">
        <f>LN(Price!V26/Price!V25)</f>
        <v>-8.5102872340732591E-2</v>
      </c>
      <c r="W25" s="127">
        <f>LN(Price!W26/Price!W25)</f>
        <v>-4.6728248170141561E-2</v>
      </c>
      <c r="X25" s="127">
        <f>LN(Price!X26/Price!X25)</f>
        <v>5.548418337441071E-2</v>
      </c>
      <c r="Y25" s="127">
        <f>LN(Price!Y26/Price!Y25)</f>
        <v>5.3589958673415788E-2</v>
      </c>
      <c r="Z25" s="127">
        <f>LN(Price!Z26/Price!Z25)</f>
        <v>-6.9699200799392902E-2</v>
      </c>
      <c r="AA25" s="127">
        <f>LN(Price!AA26/Price!AA25)</f>
        <v>2.9535519625508648E-2</v>
      </c>
      <c r="AB25" s="127">
        <f>LN(Price!AB26/Price!AB25)</f>
        <v>-4.9063195979333694E-2</v>
      </c>
      <c r="AC25" s="127">
        <f>LN(Price!AC26/Price!AC25)</f>
        <v>6.5611634115082293E-2</v>
      </c>
      <c r="AD25" s="127">
        <f>LN(Price!AD26/Price!AD25)</f>
        <v>-6.1451386951538291E-3</v>
      </c>
      <c r="AE25" s="127">
        <f>LN(Price!AE26/Price!AE25)</f>
        <v>4.0777794648427693E-2</v>
      </c>
      <c r="AF25" s="127">
        <f>LN(Price!AF26/Price!AF25)</f>
        <v>1.4544058961446355E-2</v>
      </c>
      <c r="AG25" s="96"/>
    </row>
    <row r="26" spans="1:33" x14ac:dyDescent="0.3">
      <c r="A26" s="126">
        <v>42675</v>
      </c>
      <c r="B26" s="127">
        <f>LN(Price!B27/Price!B26)</f>
        <v>-4.3088602546242777E-2</v>
      </c>
      <c r="C26" s="127">
        <f>LN(Price!C27/Price!C26)</f>
        <v>-2.7532103390201578E-2</v>
      </c>
      <c r="D26" s="127">
        <f>LN(Price!D27/Price!D26)</f>
        <v>3.1979469321535316E-2</v>
      </c>
      <c r="E26" s="127">
        <f>LN(Price!E27/Price!E26)</f>
        <v>-1.7094433359300068E-2</v>
      </c>
      <c r="F26" s="127">
        <f>LN(Price!F27/Price!F26)</f>
        <v>5.3474013481858512E-2</v>
      </c>
      <c r="G26" s="127">
        <f>LN(Price!G27/Price!G26)</f>
        <v>2.9998024596071867E-2</v>
      </c>
      <c r="H26" s="127">
        <f>LN(Price!H27/Price!H26)</f>
        <v>4.366598056178686E-2</v>
      </c>
      <c r="I26" s="127">
        <f>LN(Price!I27/Price!I26)</f>
        <v>-3.3683767180545388E-2</v>
      </c>
      <c r="J26" s="127">
        <f>LN(Price!J27/Price!J26)</f>
        <v>-3.6096015756872782E-2</v>
      </c>
      <c r="K26" s="127">
        <f>LN(Price!K27/Price!K26)</f>
        <v>1.3018083457273465E-2</v>
      </c>
      <c r="L26" s="127">
        <f>LN(Price!L27/Price!L26)</f>
        <v>-3.1811827635014132E-2</v>
      </c>
      <c r="M26" s="127">
        <f>LN(Price!M27/Price!M26)</f>
        <v>-7.2153339568025263E-2</v>
      </c>
      <c r="N26" s="127">
        <f>LN(Price!N27/Price!N26)</f>
        <v>-2.6816788488351385E-2</v>
      </c>
      <c r="O26" s="127">
        <f>LN(Price!O27/Price!O26)</f>
        <v>-3.7735893836393797E-3</v>
      </c>
      <c r="P26" s="127">
        <f>LN(Price!P27/Price!P26)</f>
        <v>0.12286693069365563</v>
      </c>
      <c r="Q26" s="127">
        <f>LN(Price!Q27/Price!Q26)</f>
        <v>-5.2803819089434011E-2</v>
      </c>
      <c r="R26" s="127">
        <f>LN(Price!R27/Price!R26)</f>
        <v>9.3518216096946539E-3</v>
      </c>
      <c r="S26" s="127">
        <f>LN(Price!S27/Price!S26)</f>
        <v>7.1428568845364568E-2</v>
      </c>
      <c r="T26" s="127">
        <f>LN(Price!T27/Price!T26)</f>
        <v>-0.19753097545748338</v>
      </c>
      <c r="U26" s="127">
        <f>LN(Price!U27/Price!U26)</f>
        <v>4.2116906706040506E-2</v>
      </c>
      <c r="V26" s="127">
        <f>LN(Price!V27/Price!V26)</f>
        <v>-2.2457561707421553E-2</v>
      </c>
      <c r="W26" s="127">
        <f>LN(Price!W27/Price!W26)</f>
        <v>-8.253886247211668E-3</v>
      </c>
      <c r="X26" s="127">
        <f>LN(Price!X27/Price!X26)</f>
        <v>-6.8243527128170514E-2</v>
      </c>
      <c r="Y26" s="127">
        <f>LN(Price!Y27/Price!Y26)</f>
        <v>8.556069308182512E-3</v>
      </c>
      <c r="Z26" s="127">
        <f>LN(Price!Z27/Price!Z26)</f>
        <v>-4.1825075495670154E-2</v>
      </c>
      <c r="AA26" s="127">
        <f>LN(Price!AA27/Price!AA26)</f>
        <v>3.2076060325324007E-2</v>
      </c>
      <c r="AB26" s="127">
        <f>LN(Price!AB27/Price!AB26)</f>
        <v>2.3109814152826529E-2</v>
      </c>
      <c r="AC26" s="127">
        <f>LN(Price!AC27/Price!AC26)</f>
        <v>-2.9211699067991599E-2</v>
      </c>
      <c r="AD26" s="127">
        <f>LN(Price!AD27/Price!AD26)</f>
        <v>1.55260705289196E-2</v>
      </c>
      <c r="AE26" s="127">
        <f>LN(Price!AE27/Price!AE26)</f>
        <v>5.8042040300199764E-2</v>
      </c>
      <c r="AF26" s="127">
        <f>LN(Price!AF27/Price!AF26)</f>
        <v>-2.3196105646468325E-3</v>
      </c>
      <c r="AG26" s="96"/>
    </row>
    <row r="27" spans="1:33" x14ac:dyDescent="0.3">
      <c r="A27" s="126">
        <v>42705</v>
      </c>
      <c r="B27" s="127">
        <f>LN(Price!B28/Price!B27)</f>
        <v>2.9840717102092924E-2</v>
      </c>
      <c r="C27" s="127">
        <f>LN(Price!C28/Price!C27)</f>
        <v>9.0596895352226647E-2</v>
      </c>
      <c r="D27" s="127">
        <f>LN(Price!D28/Price!D27)</f>
        <v>3.652091262086446E-2</v>
      </c>
      <c r="E27" s="127">
        <f>LN(Price!E28/Price!E27)</f>
        <v>4.8621116751228856E-2</v>
      </c>
      <c r="F27" s="127">
        <f>LN(Price!F28/Price!F27)</f>
        <v>4.6944734265188866E-2</v>
      </c>
      <c r="G27" s="127">
        <f>LN(Price!G28/Price!G27)</f>
        <v>9.1329131892421214E-2</v>
      </c>
      <c r="H27" s="127">
        <f>LN(Price!H28/Price!H27)</f>
        <v>5.7648102144300446E-2</v>
      </c>
      <c r="I27" s="127">
        <f>LN(Price!I28/Price!I27)</f>
        <v>0.11941049046455614</v>
      </c>
      <c r="J27" s="127">
        <f>LN(Price!J28/Price!J27)</f>
        <v>4.5222942514308639E-2</v>
      </c>
      <c r="K27" s="127">
        <f>LN(Price!K28/Price!K27)</f>
        <v>9.8684881795467486E-2</v>
      </c>
      <c r="L27" s="127">
        <f>LN(Price!L28/Price!L27)</f>
        <v>9.7169469522636644E-3</v>
      </c>
      <c r="M27" s="127">
        <f>LN(Price!M28/Price!M27)</f>
        <v>7.7160861298647521E-2</v>
      </c>
      <c r="N27" s="127">
        <f>LN(Price!N28/Price!N27)</f>
        <v>7.857811906567766E-2</v>
      </c>
      <c r="O27" s="127">
        <f>LN(Price!O28/Price!O27)</f>
        <v>2.9797362804944758E-2</v>
      </c>
      <c r="P27" s="127">
        <f>LN(Price!P28/Price!P27)</f>
        <v>0.40004136599880219</v>
      </c>
      <c r="Q27" s="127">
        <f>LN(Price!Q28/Price!Q27)</f>
        <v>1.565079223514532E-2</v>
      </c>
      <c r="R27" s="127">
        <f>LN(Price!R28/Price!R27)</f>
        <v>4.7610829600714728E-2</v>
      </c>
      <c r="S27" s="127">
        <f>LN(Price!S28/Price!S27)</f>
        <v>4.4279285713529397E-2</v>
      </c>
      <c r="T27" s="127">
        <f>LN(Price!T28/Price!T27)</f>
        <v>-4.4306674164848433E-3</v>
      </c>
      <c r="U27" s="127">
        <f>LN(Price!U28/Price!U27)</f>
        <v>0.10182497987739651</v>
      </c>
      <c r="V27" s="127">
        <f>LN(Price!V28/Price!V27)</f>
        <v>2.6487117193423258E-2</v>
      </c>
      <c r="W27" s="127">
        <f>LN(Price!W28/Price!W27)</f>
        <v>8.8990847703561693E-2</v>
      </c>
      <c r="X27" s="127">
        <f>LN(Price!X28/Price!X27)</f>
        <v>7.2731193597558599E-2</v>
      </c>
      <c r="Y27" s="127">
        <f>LN(Price!Y28/Price!Y27)</f>
        <v>8.6527661219812466E-2</v>
      </c>
      <c r="Z27" s="127">
        <f>LN(Price!Z28/Price!Z27)</f>
        <v>9.2917834165704968E-2</v>
      </c>
      <c r="AA27" s="127">
        <f>LN(Price!AA28/Price!AA27)</f>
        <v>0.11389222434699457</v>
      </c>
      <c r="AB27" s="127">
        <f>LN(Price!AB28/Price!AB27)</f>
        <v>7.3522825619417601E-2</v>
      </c>
      <c r="AC27" s="127">
        <f>LN(Price!AC28/Price!AC27)</f>
        <v>4.015917682317665E-2</v>
      </c>
      <c r="AD27" s="127">
        <f>LN(Price!AD28/Price!AD27)</f>
        <v>5.5393188315379496E-2</v>
      </c>
      <c r="AE27" s="127">
        <f>LN(Price!AE28/Price!AE27)</f>
        <v>5.8325566952852917E-2</v>
      </c>
      <c r="AF27" s="127">
        <f>LN(Price!AF28/Price!AF27)</f>
        <v>7.6050042118892019E-2</v>
      </c>
      <c r="AG27" s="96"/>
    </row>
    <row r="28" spans="1:33" x14ac:dyDescent="0.3">
      <c r="A28" s="126">
        <v>42736</v>
      </c>
      <c r="B28" s="127">
        <f>LN(Price!B29/Price!B28)</f>
        <v>-1.5681005562153204E-2</v>
      </c>
      <c r="C28" s="127">
        <f>LN(Price!C29/Price!C28)</f>
        <v>7.6141363265298856E-2</v>
      </c>
      <c r="D28" s="127">
        <f>LN(Price!D29/Price!D28)</f>
        <v>0.37037378829689427</v>
      </c>
      <c r="E28" s="127">
        <f>LN(Price!E29/Price!E28)</f>
        <v>2.173998663640582E-2</v>
      </c>
      <c r="F28" s="127">
        <f>LN(Price!F29/Price!F28)</f>
        <v>-1.2746974320004727E-3</v>
      </c>
      <c r="G28" s="127">
        <f>LN(Price!G29/Price!G28)</f>
        <v>-4.7601003818177274E-3</v>
      </c>
      <c r="H28" s="127">
        <f>LN(Price!H29/Price!H28)</f>
        <v>-9.0032762499588272E-3</v>
      </c>
      <c r="I28" s="127">
        <f>LN(Price!I29/Price!I28)</f>
        <v>-1.9562271568547444E-2</v>
      </c>
      <c r="J28" s="127">
        <f>LN(Price!J29/Price!J28)</f>
        <v>2.8658677751803932E-2</v>
      </c>
      <c r="K28" s="127">
        <f>LN(Price!K29/Price!K28)</f>
        <v>-5.2984865132040454E-2</v>
      </c>
      <c r="L28" s="127">
        <f>LN(Price!L29/Price!L28)</f>
        <v>-8.2867077024909669E-2</v>
      </c>
      <c r="M28" s="127">
        <f>LN(Price!M29/Price!M28)</f>
        <v>-3.0428311023895659E-2</v>
      </c>
      <c r="N28" s="127">
        <f>LN(Price!N29/Price!N28)</f>
        <v>7.0151843994505664E-2</v>
      </c>
      <c r="O28" s="127">
        <f>LN(Price!O29/Price!O28)</f>
        <v>0.20798334230843762</v>
      </c>
      <c r="P28" s="127">
        <f>LN(Price!P29/Price!P28)</f>
        <v>0.22219136461368819</v>
      </c>
      <c r="Q28" s="127">
        <f>LN(Price!Q29/Price!Q28)</f>
        <v>-2.0922633110397635E-2</v>
      </c>
      <c r="R28" s="127">
        <f>LN(Price!R29/Price!R28)</f>
        <v>2.4901685108550679E-2</v>
      </c>
      <c r="S28" s="127">
        <f>LN(Price!S29/Price!S28)</f>
        <v>7.4248164965798766E-2</v>
      </c>
      <c r="T28" s="127">
        <f>LN(Price!T29/Price!T28)</f>
        <v>3.6621354688536598E-2</v>
      </c>
      <c r="U28" s="127">
        <f>LN(Price!U29/Price!U28)</f>
        <v>7.2595600128041024E-3</v>
      </c>
      <c r="V28" s="127">
        <f>LN(Price!V29/Price!V28)</f>
        <v>1.000341786278925E-2</v>
      </c>
      <c r="W28" s="127">
        <f>LN(Price!W29/Price!W28)</f>
        <v>-6.628854957636128E-2</v>
      </c>
      <c r="X28" s="127">
        <f>LN(Price!X29/Price!X28)</f>
        <v>5.7987257650349316E-2</v>
      </c>
      <c r="Y28" s="127">
        <f>LN(Price!Y29/Price!Y28)</f>
        <v>9.1304246982630045E-3</v>
      </c>
      <c r="Z28" s="127">
        <f>LN(Price!Z29/Price!Z28)</f>
        <v>-1.6465794622897208E-2</v>
      </c>
      <c r="AA28" s="127">
        <f>LN(Price!AA29/Price!AA28)</f>
        <v>1.0055305020187962E-3</v>
      </c>
      <c r="AB28" s="127">
        <f>LN(Price!AB29/Price!AB28)</f>
        <v>0.1198722502940175</v>
      </c>
      <c r="AC28" s="127">
        <f>LN(Price!AC29/Price!AC28)</f>
        <v>-2.9176407468715037E-2</v>
      </c>
      <c r="AD28" s="127">
        <f>LN(Price!AD29/Price!AD28)</f>
        <v>3.0878730779924132E-2</v>
      </c>
      <c r="AE28" s="127">
        <f>LN(Price!AE29/Price!AE28)</f>
        <v>3.1471282714513258E-4</v>
      </c>
      <c r="AF28" s="127">
        <f>LN(Price!AF29/Price!AF28)</f>
        <v>4.71404487005651E-3</v>
      </c>
      <c r="AG28" s="96"/>
    </row>
    <row r="29" spans="1:33" x14ac:dyDescent="0.3">
      <c r="A29" s="126">
        <v>42767</v>
      </c>
      <c r="B29" s="127">
        <f>LN(Price!B30/Price!B29)</f>
        <v>4.328202036111746E-2</v>
      </c>
      <c r="C29" s="127">
        <f>LN(Price!C30/Price!C29)</f>
        <v>-2.9621347630406112E-2</v>
      </c>
      <c r="D29" s="127">
        <f>LN(Price!D30/Price!D29)</f>
        <v>0.21894427047265289</v>
      </c>
      <c r="E29" s="127">
        <f>LN(Price!E30/Price!E29)</f>
        <v>3.8479657501552557E-2</v>
      </c>
      <c r="F29" s="127">
        <f>LN(Price!F30/Price!F29)</f>
        <v>4.6114089102020306E-2</v>
      </c>
      <c r="G29" s="127">
        <f>LN(Price!G30/Price!G29)</f>
        <v>5.4865492227740911E-2</v>
      </c>
      <c r="H29" s="127">
        <f>LN(Price!H30/Price!H29)</f>
        <v>4.4844899527962709E-2</v>
      </c>
      <c r="I29" s="127">
        <f>LN(Price!I30/Price!I29)</f>
        <v>-1.0290691581133653E-2</v>
      </c>
      <c r="J29" s="127">
        <f>LN(Price!J30/Price!J29)</f>
        <v>-1.1246049274627329E-2</v>
      </c>
      <c r="K29" s="127">
        <f>LN(Price!K30/Price!K29)</f>
        <v>2.373324954050644E-3</v>
      </c>
      <c r="L29" s="127">
        <f>LN(Price!L30/Price!L29)</f>
        <v>8.35337437162679E-2</v>
      </c>
      <c r="M29" s="127">
        <f>LN(Price!M30/Price!M29)</f>
        <v>8.3916995974881795E-2</v>
      </c>
      <c r="N29" s="127">
        <f>LN(Price!N30/Price!N29)</f>
        <v>-6.2258839305607425E-2</v>
      </c>
      <c r="O29" s="127">
        <f>LN(Price!O30/Price!O29)</f>
        <v>0.15563988337872603</v>
      </c>
      <c r="P29" s="127">
        <f>LN(Price!P30/Price!P29)</f>
        <v>6.6085364441437783E-2</v>
      </c>
      <c r="Q29" s="127">
        <f>LN(Price!Q30/Price!Q29)</f>
        <v>8.3011537167338292E-2</v>
      </c>
      <c r="R29" s="127">
        <f>LN(Price!R30/Price!R29)</f>
        <v>1.4648699442905087E-2</v>
      </c>
      <c r="S29" s="127">
        <f>LN(Price!S30/Price!S29)</f>
        <v>-2.6093788165615365E-2</v>
      </c>
      <c r="T29" s="127">
        <f>LN(Price!T30/Price!T29)</f>
        <v>9.3908201227464141E-2</v>
      </c>
      <c r="U29" s="127">
        <f>LN(Price!U30/Price!U29)</f>
        <v>7.9903596593114662E-2</v>
      </c>
      <c r="V29" s="127">
        <f>LN(Price!V30/Price!V29)</f>
        <v>7.323072712087722E-2</v>
      </c>
      <c r="W29" s="127">
        <f>LN(Price!W30/Price!W29)</f>
        <v>4.2388040839599204E-2</v>
      </c>
      <c r="X29" s="127">
        <f>LN(Price!X30/Price!X29)</f>
        <v>3.1880731851290346E-2</v>
      </c>
      <c r="Y29" s="127">
        <f>LN(Price!Y30/Price!Y29)</f>
        <v>-1.3783971487842543E-2</v>
      </c>
      <c r="Z29" s="127">
        <f>LN(Price!Z30/Price!Z29)</f>
        <v>5.8049611022517954E-2</v>
      </c>
      <c r="AA29" s="127">
        <f>LN(Price!AA30/Price!AA29)</f>
        <v>-7.7282700903285775E-2</v>
      </c>
      <c r="AB29" s="127">
        <f>LN(Price!AB30/Price!AB29)</f>
        <v>4.2426390624829384E-2</v>
      </c>
      <c r="AC29" s="127">
        <f>LN(Price!AC30/Price!AC29)</f>
        <v>2.4980010206949437E-2</v>
      </c>
      <c r="AD29" s="127">
        <f>LN(Price!AD30/Price!AD29)</f>
        <v>1.0649727916658148E-2</v>
      </c>
      <c r="AE29" s="127">
        <f>LN(Price!AE30/Price!AE29)</f>
        <v>5.9550487964988824E-2</v>
      </c>
      <c r="AF29" s="127">
        <f>LN(Price!AF30/Price!AF29)</f>
        <v>2.5598623596102748E-2</v>
      </c>
      <c r="AG29" s="96"/>
    </row>
    <row r="30" spans="1:33" x14ac:dyDescent="0.3">
      <c r="A30" s="126">
        <v>42795</v>
      </c>
      <c r="B30" s="127">
        <f>LN(Price!B31/Price!B30)</f>
        <v>2.3313343384276691E-2</v>
      </c>
      <c r="C30" s="127">
        <f>LN(Price!C31/Price!C30)</f>
        <v>-2.2440319126226415E-2</v>
      </c>
      <c r="D30" s="127">
        <f>LN(Price!D31/Price!D30)</f>
        <v>-0.20946552651810918</v>
      </c>
      <c r="E30" s="127">
        <f>LN(Price!E31/Price!E30)</f>
        <v>4.4802690928210501E-2</v>
      </c>
      <c r="F30" s="127">
        <f>LN(Price!F31/Price!F30)</f>
        <v>5.5956582171755274E-2</v>
      </c>
      <c r="G30" s="127">
        <f>LN(Price!G31/Price!G30)</f>
        <v>4.4608853251752269E-2</v>
      </c>
      <c r="H30" s="127">
        <f>LN(Price!H31/Price!H30)</f>
        <v>-8.3734401480665775E-3</v>
      </c>
      <c r="I30" s="127">
        <f>LN(Price!I31/Price!I30)</f>
        <v>8.1254074439171525E-3</v>
      </c>
      <c r="J30" s="127">
        <f>LN(Price!J31/Price!J30)</f>
        <v>0.13092382921744172</v>
      </c>
      <c r="K30" s="127">
        <f>LN(Price!K31/Price!K30)</f>
        <v>1.3421439990328616E-2</v>
      </c>
      <c r="L30" s="127">
        <f>LN(Price!L31/Price!L30)</f>
        <v>2.9063699060666991E-2</v>
      </c>
      <c r="M30" s="127">
        <f>LN(Price!M31/Price!M30)</f>
        <v>0.11834404548876926</v>
      </c>
      <c r="N30" s="127">
        <f>LN(Price!N31/Price!N30)</f>
        <v>-1.9557211583740828E-2</v>
      </c>
      <c r="O30" s="127">
        <f>LN(Price!O31/Price!O30)</f>
        <v>0.15996464969267801</v>
      </c>
      <c r="P30" s="127">
        <f>LN(Price!P31/Price!P30)</f>
        <v>6.8554286512496699E-3</v>
      </c>
      <c r="Q30" s="127">
        <f>LN(Price!Q31/Price!Q30)</f>
        <v>4.2475792017327612E-3</v>
      </c>
      <c r="R30" s="127">
        <f>LN(Price!R31/Price!R30)</f>
        <v>3.4773687008833577E-2</v>
      </c>
      <c r="S30" s="127">
        <f>LN(Price!S31/Price!S30)</f>
        <v>7.2039313368754687E-2</v>
      </c>
      <c r="T30" s="127">
        <f>LN(Price!T31/Price!T30)</f>
        <v>0.14351644965216245</v>
      </c>
      <c r="U30" s="127">
        <f>LN(Price!U31/Price!U30)</f>
        <v>1.7787438980580352E-2</v>
      </c>
      <c r="V30" s="127">
        <f>LN(Price!V31/Price!V30)</f>
        <v>-4.9299081805158636E-2</v>
      </c>
      <c r="W30" s="127">
        <f>LN(Price!W31/Price!W30)</f>
        <v>6.3451989538507716E-3</v>
      </c>
      <c r="X30" s="127">
        <f>LN(Price!X31/Price!X30)</f>
        <v>1.6238516492908018E-2</v>
      </c>
      <c r="Y30" s="127">
        <f>LN(Price!Y31/Price!Y30)</f>
        <v>5.55391032110771E-2</v>
      </c>
      <c r="Z30" s="127">
        <f>LN(Price!Z31/Price!Z30)</f>
        <v>7.0558225315588544E-2</v>
      </c>
      <c r="AA30" s="127">
        <f>LN(Price!AA31/Price!AA30)</f>
        <v>2.4666129890193636E-2</v>
      </c>
      <c r="AB30" s="127">
        <f>LN(Price!AB31/Price!AB30)</f>
        <v>-3.7523496185504642E-3</v>
      </c>
      <c r="AC30" s="127">
        <f>LN(Price!AC31/Price!AC30)</f>
        <v>2.8466755689724524E-2</v>
      </c>
      <c r="AD30" s="127">
        <f>LN(Price!AD31/Price!AD30)</f>
        <v>-2.7493140580198732E-2</v>
      </c>
      <c r="AE30" s="127">
        <f>LN(Price!AE31/Price!AE30)</f>
        <v>-2.0063556680680623E-2</v>
      </c>
      <c r="AF30" s="127">
        <f>LN(Price!AF31/Price!AF30)</f>
        <v>3.9633667218327479E-2</v>
      </c>
      <c r="AG30" s="96"/>
    </row>
    <row r="31" spans="1:33" x14ac:dyDescent="0.3">
      <c r="A31" s="126">
        <v>42826</v>
      </c>
      <c r="B31" s="127">
        <f>LN(Price!B32/Price!B31)</f>
        <v>2.8397554212604918E-2</v>
      </c>
      <c r="C31" s="127">
        <f>LN(Price!C32/Price!C31)</f>
        <v>6.3462723054942591E-2</v>
      </c>
      <c r="D31" s="127">
        <f>LN(Price!D32/Price!D31)</f>
        <v>-0.15588173699097613</v>
      </c>
      <c r="E31" s="127">
        <f>LN(Price!E32/Price!E31)</f>
        <v>9.7799518797670989E-4</v>
      </c>
      <c r="F31" s="127">
        <f>LN(Price!F32/Price!F31)</f>
        <v>6.6006840313520927E-3</v>
      </c>
      <c r="G31" s="127">
        <f>LN(Price!G32/Price!G31)</f>
        <v>2.4576712706668519E-2</v>
      </c>
      <c r="H31" s="127">
        <f>LN(Price!H32/Price!H31)</f>
        <v>2.734005336505772E-2</v>
      </c>
      <c r="I31" s="127">
        <f>LN(Price!I32/Price!I31)</f>
        <v>-1.1628037995119099E-2</v>
      </c>
      <c r="J31" s="127">
        <f>LN(Price!J32/Price!J31)</f>
        <v>-7.8637364602144634E-3</v>
      </c>
      <c r="K31" s="127">
        <f>LN(Price!K32/Price!K31)</f>
        <v>2.4718283199379503E-2</v>
      </c>
      <c r="L31" s="127">
        <f>LN(Price!L32/Price!L31)</f>
        <v>-2.3083614794195361E-2</v>
      </c>
      <c r="M31" s="127">
        <f>LN(Price!M32/Price!M31)</f>
        <v>3.0924606741180621E-2</v>
      </c>
      <c r="N31" s="127">
        <f>LN(Price!N32/Price!N31)</f>
        <v>4.9032234054327418E-2</v>
      </c>
      <c r="O31" s="127">
        <f>LN(Price!O32/Price!O31)</f>
        <v>0.12739849435582543</v>
      </c>
      <c r="P31" s="127">
        <f>LN(Price!P32/Price!P31)</f>
        <v>-1.324522675002068E-2</v>
      </c>
      <c r="Q31" s="127">
        <f>LN(Price!Q32/Price!Q31)</f>
        <v>6.3377305845491389E-3</v>
      </c>
      <c r="R31" s="127">
        <f>LN(Price!R32/Price!R31)</f>
        <v>9.3197319488022273E-3</v>
      </c>
      <c r="S31" s="127">
        <f>LN(Price!S32/Price!S31)</f>
        <v>4.1703481041876031E-2</v>
      </c>
      <c r="T31" s="127">
        <f>LN(Price!T32/Price!T31)</f>
        <v>-2.1843871947116438E-2</v>
      </c>
      <c r="U31" s="127">
        <f>LN(Price!U32/Price!U31)</f>
        <v>7.653576128038915E-2</v>
      </c>
      <c r="V31" s="127">
        <f>LN(Price!V32/Price!V31)</f>
        <v>1.6704532339794232E-2</v>
      </c>
      <c r="W31" s="127">
        <f>LN(Price!W32/Price!W31)</f>
        <v>2.9908771392573252E-2</v>
      </c>
      <c r="X31" s="127">
        <f>LN(Price!X32/Price!X31)</f>
        <v>-3.9704051418913866E-2</v>
      </c>
      <c r="Y31" s="127">
        <f>LN(Price!Y32/Price!Y31)</f>
        <v>-3.7947309897506408E-2</v>
      </c>
      <c r="Z31" s="127">
        <f>LN(Price!Z32/Price!Z31)</f>
        <v>0</v>
      </c>
      <c r="AA31" s="127">
        <f>LN(Price!AA32/Price!AA31)</f>
        <v>7.3878963998895422E-3</v>
      </c>
      <c r="AB31" s="127">
        <f>LN(Price!AB32/Price!AB31)</f>
        <v>0.20312217145365113</v>
      </c>
      <c r="AC31" s="127">
        <f>LN(Price!AC32/Price!AC31)</f>
        <v>-3.770469667466067E-2</v>
      </c>
      <c r="AD31" s="127">
        <f>LN(Price!AD32/Price!AD31)</f>
        <v>-4.9095088702973279E-2</v>
      </c>
      <c r="AE31" s="127">
        <f>LN(Price!AE32/Price!AE31)</f>
        <v>9.0702954064262318E-4</v>
      </c>
      <c r="AF31" s="127">
        <f>LN(Price!AF32/Price!AF31)</f>
        <v>1.0112049861040201E-2</v>
      </c>
      <c r="AG31" s="96"/>
    </row>
    <row r="32" spans="1:33" x14ac:dyDescent="0.3">
      <c r="A32" s="126">
        <v>42856</v>
      </c>
      <c r="B32" s="127">
        <f>LN(Price!B33/Price!B32)</f>
        <v>3.1238185383869264E-2</v>
      </c>
      <c r="C32" s="127">
        <f>LN(Price!C33/Price!C32)</f>
        <v>-8.454728441551633E-2</v>
      </c>
      <c r="D32" s="127">
        <f>LN(Price!D33/Price!D32)</f>
        <v>6.1985651223849414E-2</v>
      </c>
      <c r="E32" s="127">
        <f>LN(Price!E33/Price!E32)</f>
        <v>3.5948620489906241E-2</v>
      </c>
      <c r="F32" s="127">
        <f>LN(Price!F33/Price!F32)</f>
        <v>-2.2563873099889893E-2</v>
      </c>
      <c r="G32" s="127">
        <f>LN(Price!G33/Price!G32)</f>
        <v>-3.5172608263386945E-2</v>
      </c>
      <c r="H32" s="127">
        <f>LN(Price!H33/Price!H32)</f>
        <v>-1.4652276786870262E-2</v>
      </c>
      <c r="I32" s="127">
        <f>LN(Price!I33/Price!I32)</f>
        <v>-5.7003627058430727E-2</v>
      </c>
      <c r="J32" s="127">
        <f>LN(Price!J33/Price!J32)</f>
        <v>3.5671913484593802E-2</v>
      </c>
      <c r="K32" s="127">
        <f>LN(Price!K33/Price!K32)</f>
        <v>-5.1023117419994359E-2</v>
      </c>
      <c r="L32" s="127">
        <f>LN(Price!L33/Price!L32)</f>
        <v>0.13922894323406607</v>
      </c>
      <c r="M32" s="127">
        <f>LN(Price!M33/Price!M32)</f>
        <v>-7.7124186580653731E-2</v>
      </c>
      <c r="N32" s="127">
        <f>LN(Price!N33/Price!N32)</f>
        <v>-5.275444424863409E-2</v>
      </c>
      <c r="O32" s="127">
        <f>LN(Price!O33/Price!O32)</f>
        <v>2.2706746626133877E-2</v>
      </c>
      <c r="P32" s="127">
        <f>LN(Price!P33/Price!P32)</f>
        <v>0.24042918760123549</v>
      </c>
      <c r="Q32" s="127">
        <f>LN(Price!Q33/Price!Q32)</f>
        <v>5.0736581088037032E-2</v>
      </c>
      <c r="R32" s="127">
        <f>LN(Price!R33/Price!R32)</f>
        <v>-3.2520353863772318E-3</v>
      </c>
      <c r="S32" s="127">
        <f>LN(Price!S33/Price!S32)</f>
        <v>2.8850791694499379E-2</v>
      </c>
      <c r="T32" s="127">
        <f>LN(Price!T33/Price!T32)</f>
        <v>0.17319329420724733</v>
      </c>
      <c r="U32" s="127">
        <f>LN(Price!U33/Price!U32)</f>
        <v>-4.7044631908220197E-2</v>
      </c>
      <c r="V32" s="127">
        <f>LN(Price!V33/Price!V32)</f>
        <v>0.10657036011753926</v>
      </c>
      <c r="W32" s="127">
        <f>LN(Price!W33/Price!W32)</f>
        <v>4.4542504977224451E-2</v>
      </c>
      <c r="X32" s="127">
        <f>LN(Price!X33/Price!X32)</f>
        <v>8.4330878910102547E-2</v>
      </c>
      <c r="Y32" s="127">
        <f>LN(Price!Y33/Price!Y32)</f>
        <v>-6.4881377431969853E-2</v>
      </c>
      <c r="Z32" s="127">
        <f>LN(Price!Z33/Price!Z32)</f>
        <v>-3.7179003241754015E-2</v>
      </c>
      <c r="AA32" s="127">
        <f>LN(Price!AA33/Price!AA32)</f>
        <v>-1.3764113539165545E-2</v>
      </c>
      <c r="AB32" s="127">
        <f>LN(Price!AB33/Price!AB32)</f>
        <v>-2.0288100767893686E-2</v>
      </c>
      <c r="AC32" s="127">
        <f>LN(Price!AC33/Price!AC32)</f>
        <v>-6.0165921081281899E-3</v>
      </c>
      <c r="AD32" s="127">
        <f>LN(Price!AD33/Price!AD32)</f>
        <v>7.7011868349029122E-2</v>
      </c>
      <c r="AE32" s="127">
        <f>LN(Price!AE33/Price!AE32)</f>
        <v>-3.9364168922499587E-3</v>
      </c>
      <c r="AF32" s="127">
        <f>LN(Price!AF33/Price!AF32)</f>
        <v>1.413423165512479E-2</v>
      </c>
      <c r="AG32" s="96"/>
    </row>
    <row r="33" spans="1:33" x14ac:dyDescent="0.3">
      <c r="A33" s="126">
        <v>42887</v>
      </c>
      <c r="B33" s="127">
        <f>LN(Price!B34/Price!B33)</f>
        <v>-4.2972654696094445E-2</v>
      </c>
      <c r="C33" s="127">
        <f>LN(Price!C34/Price!C33)</f>
        <v>-2.9951351480926891E-3</v>
      </c>
      <c r="D33" s="127">
        <f>LN(Price!D34/Price!D33)</f>
        <v>2.2541938094495607E-2</v>
      </c>
      <c r="E33" s="127">
        <f>LN(Price!E34/Price!E33)</f>
        <v>-4.2705402952785909E-2</v>
      </c>
      <c r="F33" s="127">
        <f>LN(Price!F34/Price!F33)</f>
        <v>8.7387681080474608E-3</v>
      </c>
      <c r="G33" s="127">
        <f>LN(Price!G34/Price!G33)</f>
        <v>-5.4178794575265608E-2</v>
      </c>
      <c r="H33" s="127">
        <f>LN(Price!H34/Price!H33)</f>
        <v>9.1828009823349821E-3</v>
      </c>
      <c r="I33" s="127">
        <f>LN(Price!I34/Price!I33)</f>
        <v>-1.9378634234648508E-2</v>
      </c>
      <c r="J33" s="127">
        <f>LN(Price!J34/Price!J33)</f>
        <v>-6.2880847252000799E-2</v>
      </c>
      <c r="K33" s="127">
        <f>LN(Price!K34/Price!K33)</f>
        <v>-2.4428510117077386E-2</v>
      </c>
      <c r="L33" s="127">
        <f>LN(Price!L34/Price!L33)</f>
        <v>-3.504500552767946E-2</v>
      </c>
      <c r="M33" s="127">
        <f>LN(Price!M34/Price!M33)</f>
        <v>-1.4793169177830577E-2</v>
      </c>
      <c r="N33" s="127">
        <f>LN(Price!N34/Price!N33)</f>
        <v>-3.5154408861485471E-2</v>
      </c>
      <c r="O33" s="127">
        <f>LN(Price!O34/Price!O33)</f>
        <v>5.5494000681341235E-2</v>
      </c>
      <c r="P33" s="127">
        <f>LN(Price!P34/Price!P33)</f>
        <v>9.3842828110375129E-2</v>
      </c>
      <c r="Q33" s="127">
        <f>LN(Price!Q34/Price!Q33)</f>
        <v>-6.0232506780932473E-3</v>
      </c>
      <c r="R33" s="127">
        <f>LN(Price!R34/Price!R33)</f>
        <v>-1.5947805162132105E-2</v>
      </c>
      <c r="S33" s="127">
        <f>LN(Price!S34/Price!S33)</f>
        <v>-6.4899948194703972E-4</v>
      </c>
      <c r="T33" s="127">
        <f>LN(Price!T34/Price!T33)</f>
        <v>-3.5443757335002019E-2</v>
      </c>
      <c r="U33" s="127">
        <f>LN(Price!U34/Price!U33)</f>
        <v>-1.6861097966066326E-2</v>
      </c>
      <c r="V33" s="127">
        <f>LN(Price!V34/Price!V33)</f>
        <v>-4.1812844165288202E-2</v>
      </c>
      <c r="W33" s="127">
        <f>LN(Price!W34/Price!W33)</f>
        <v>-1.1693276801793938E-2</v>
      </c>
      <c r="X33" s="127">
        <f>LN(Price!X34/Price!X33)</f>
        <v>5.7372340463932713E-2</v>
      </c>
      <c r="Y33" s="127">
        <f>LN(Price!Y34/Price!Y33)</f>
        <v>-3.3350571616266103E-2</v>
      </c>
      <c r="Z33" s="127">
        <f>LN(Price!Z34/Price!Z33)</f>
        <v>-4.6784600899037368E-2</v>
      </c>
      <c r="AA33" s="127">
        <f>LN(Price!AA34/Price!AA33)</f>
        <v>-8.5653628589230455E-3</v>
      </c>
      <c r="AB33" s="127">
        <f>LN(Price!AB34/Price!AB33)</f>
        <v>-4.304241018699901E-2</v>
      </c>
      <c r="AC33" s="127">
        <f>LN(Price!AC34/Price!AC33)</f>
        <v>9.4626311650165742E-3</v>
      </c>
      <c r="AD33" s="127">
        <f>LN(Price!AD34/Price!AD33)</f>
        <v>5.2393916773557224E-2</v>
      </c>
      <c r="AE33" s="127">
        <f>LN(Price!AE34/Price!AE33)</f>
        <v>-7.9196271380632104E-3</v>
      </c>
      <c r="AF33" s="127">
        <f>LN(Price!AF34/Price!AF33)</f>
        <v>-2.32518821346057E-2</v>
      </c>
      <c r="AG33" s="96"/>
    </row>
    <row r="34" spans="1:33" x14ac:dyDescent="0.3">
      <c r="A34" s="126">
        <v>42917</v>
      </c>
      <c r="B34" s="127">
        <f>LN(Price!B35/Price!B34)</f>
        <v>4.7103243001831337E-3</v>
      </c>
      <c r="C34" s="127">
        <f>LN(Price!C35/Price!C34)</f>
        <v>-2.4673865109563695E-2</v>
      </c>
      <c r="D34" s="127">
        <f>LN(Price!D35/Price!D34)</f>
        <v>-2.6695630463189114E-2</v>
      </c>
      <c r="E34" s="127">
        <f>LN(Price!E35/Price!E34)</f>
        <v>-1.9544596072970169E-2</v>
      </c>
      <c r="F34" s="127">
        <f>LN(Price!F35/Price!F34)</f>
        <v>4.3139492660617534E-2</v>
      </c>
      <c r="G34" s="127">
        <f>LN(Price!G35/Price!G34)</f>
        <v>-4.7666268370757291E-2</v>
      </c>
      <c r="H34" s="127">
        <f>LN(Price!H35/Price!H34)</f>
        <v>-6.0957027184692261E-4</v>
      </c>
      <c r="I34" s="127">
        <f>LN(Price!I35/Price!I34)</f>
        <v>-6.6549905616149291E-2</v>
      </c>
      <c r="J34" s="127">
        <f>LN(Price!J35/Price!J34)</f>
        <v>-5.4230067828036389E-3</v>
      </c>
      <c r="K34" s="127">
        <f>LN(Price!K35/Price!K34)</f>
        <v>-4.4916034609021042E-2</v>
      </c>
      <c r="L34" s="127">
        <f>LN(Price!L35/Price!L34)</f>
        <v>-0.10916485452920011</v>
      </c>
      <c r="M34" s="127">
        <f>LN(Price!M35/Price!M34)</f>
        <v>0.14021541305309448</v>
      </c>
      <c r="N34" s="127">
        <f>LN(Price!N35/Price!N34)</f>
        <v>-1.639717000202124E-2</v>
      </c>
      <c r="O34" s="127">
        <f>LN(Price!O35/Price!O34)</f>
        <v>-9.3630175872336768E-2</v>
      </c>
      <c r="P34" s="127">
        <f>LN(Price!P35/Price!P34)</f>
        <v>-4.2306694206878876E-3</v>
      </c>
      <c r="Q34" s="127">
        <f>LN(Price!Q35/Price!Q34)</f>
        <v>-1.4488807501217425E-2</v>
      </c>
      <c r="R34" s="127">
        <f>LN(Price!R35/Price!R34)</f>
        <v>-0.13009253012767263</v>
      </c>
      <c r="S34" s="127">
        <f>LN(Price!S35/Price!S34)</f>
        <v>-4.4358320024407351E-2</v>
      </c>
      <c r="T34" s="127">
        <f>LN(Price!T35/Price!T34)</f>
        <v>2.0827887678365093E-2</v>
      </c>
      <c r="U34" s="127">
        <f>LN(Price!U35/Price!U34)</f>
        <v>3.6371024131676695E-3</v>
      </c>
      <c r="V34" s="127">
        <f>LN(Price!V35/Price!V34)</f>
        <v>0</v>
      </c>
      <c r="W34" s="127">
        <f>LN(Price!W35/Price!W34)</f>
        <v>-5.3440379903295088E-2</v>
      </c>
      <c r="X34" s="127">
        <f>LN(Price!X35/Price!X34)</f>
        <v>1.3245226750020505E-2</v>
      </c>
      <c r="Y34" s="127">
        <f>LN(Price!Y35/Price!Y34)</f>
        <v>-6.1850766200459879E-3</v>
      </c>
      <c r="Z34" s="127">
        <f>LN(Price!Z35/Price!Z34)</f>
        <v>8.1697647712577811E-3</v>
      </c>
      <c r="AA34" s="127">
        <f>LN(Price!AA35/Price!AA34)</f>
        <v>2.1277398447284879E-2</v>
      </c>
      <c r="AB34" s="127">
        <f>LN(Price!AB35/Price!AB34)</f>
        <v>7.4019582956677387E-3</v>
      </c>
      <c r="AC34" s="127">
        <f>LN(Price!AC35/Price!AC34)</f>
        <v>2.1258995627972375E-2</v>
      </c>
      <c r="AD34" s="127">
        <f>LN(Price!AD35/Price!AD34)</f>
        <v>8.4050925073523349E-3</v>
      </c>
      <c r="AE34" s="127">
        <f>LN(Price!AE35/Price!AE34)</f>
        <v>6.4251782784351869E-2</v>
      </c>
      <c r="AF34" s="127">
        <f>LN(Price!AF35/Price!AF34)</f>
        <v>-1.6926875412606804E-2</v>
      </c>
      <c r="AG34" s="96"/>
    </row>
    <row r="35" spans="1:33" x14ac:dyDescent="0.3">
      <c r="A35" s="126">
        <v>42948</v>
      </c>
      <c r="B35" s="127">
        <f>LN(Price!B36/Price!B35)</f>
        <v>-4.5178273853029763E-2</v>
      </c>
      <c r="C35" s="127">
        <f>LN(Price!C36/Price!C35)</f>
        <v>-3.719356091415723E-2</v>
      </c>
      <c r="D35" s="127">
        <f>LN(Price!D36/Price!D35)</f>
        <v>0.12962157401163399</v>
      </c>
      <c r="E35" s="127">
        <f>LN(Price!E36/Price!E35)</f>
        <v>-1.7775245821770772E-2</v>
      </c>
      <c r="F35" s="127">
        <f>LN(Price!F36/Price!F35)</f>
        <v>-1.3898542890543016E-3</v>
      </c>
      <c r="G35" s="127">
        <f>LN(Price!G36/Price!G35)</f>
        <v>-4.4073924939861939E-2</v>
      </c>
      <c r="H35" s="127">
        <f>LN(Price!H36/Price!H35)</f>
        <v>6.0624621816435048E-2</v>
      </c>
      <c r="I35" s="127">
        <f>LN(Price!I36/Price!I35)</f>
        <v>3.2196607770586652E-2</v>
      </c>
      <c r="J35" s="127">
        <f>LN(Price!J36/Price!J35)</f>
        <v>5.1918438802674827E-2</v>
      </c>
      <c r="K35" s="127">
        <f>LN(Price!K36/Price!K35)</f>
        <v>3.7248774684410591E-3</v>
      </c>
      <c r="L35" s="127">
        <f>LN(Price!L36/Price!L35)</f>
        <v>1.9123563333603707E-2</v>
      </c>
      <c r="M35" s="127">
        <f>LN(Price!M36/Price!M35)</f>
        <v>-2.3326965200519332E-2</v>
      </c>
      <c r="N35" s="127">
        <f>LN(Price!N36/Price!N35)</f>
        <v>-1.6250357598799784E-2</v>
      </c>
      <c r="O35" s="127">
        <f>LN(Price!O36/Price!O35)</f>
        <v>-4.8709302345964541E-3</v>
      </c>
      <c r="P35" s="127">
        <f>LN(Price!P36/Price!P35)</f>
        <v>-0.16713787535406952</v>
      </c>
      <c r="Q35" s="127">
        <f>LN(Price!Q36/Price!Q35)</f>
        <v>3.5835854059022634E-2</v>
      </c>
      <c r="R35" s="127">
        <f>LN(Price!R36/Price!R35)</f>
        <v>-6.3746096690401929E-3</v>
      </c>
      <c r="S35" s="127">
        <f>LN(Price!S36/Price!S35)</f>
        <v>1.5488525115004323E-2</v>
      </c>
      <c r="T35" s="127">
        <f>LN(Price!T36/Price!T35)</f>
        <v>0.16219496654452253</v>
      </c>
      <c r="U35" s="127">
        <f>LN(Price!U36/Price!U35)</f>
        <v>-5.2589223016673056E-2</v>
      </c>
      <c r="V35" s="127">
        <f>LN(Price!V36/Price!V35)</f>
        <v>6.3343420905695419E-2</v>
      </c>
      <c r="W35" s="127">
        <f>LN(Price!W36/Price!W35)</f>
        <v>-1.6299558531826921E-2</v>
      </c>
      <c r="X35" s="127">
        <f>LN(Price!X36/Price!X35)</f>
        <v>0.127833371509885</v>
      </c>
      <c r="Y35" s="127">
        <f>LN(Price!Y36/Price!Y35)</f>
        <v>9.6320823721458958E-3</v>
      </c>
      <c r="Z35" s="127">
        <f>LN(Price!Z36/Price!Z35)</f>
        <v>-4.9993526044117189E-3</v>
      </c>
      <c r="AA35" s="127">
        <f>LN(Price!AA36/Price!AA35)</f>
        <v>-3.208831455150063E-2</v>
      </c>
      <c r="AB35" s="127">
        <f>LN(Price!AB36/Price!AB35)</f>
        <v>1.9860465868739838E-2</v>
      </c>
      <c r="AC35" s="127">
        <f>LN(Price!AC36/Price!AC35)</f>
        <v>-4.3613941158383754E-2</v>
      </c>
      <c r="AD35" s="127">
        <f>LN(Price!AD36/Price!AD35)</f>
        <v>3.9777299861879865E-3</v>
      </c>
      <c r="AE35" s="127">
        <f>LN(Price!AE36/Price!AE35)</f>
        <v>-2.8719146677896492E-3</v>
      </c>
      <c r="AF35" s="127">
        <f>LN(Price!AF36/Price!AF35)</f>
        <v>-5.1633909410700807E-3</v>
      </c>
      <c r="AG35" s="96"/>
    </row>
    <row r="36" spans="1:33" x14ac:dyDescent="0.3">
      <c r="A36" s="126">
        <v>42979</v>
      </c>
      <c r="B36" s="127">
        <f>LN(Price!B37/Price!B36)</f>
        <v>1.2216130419284122E-2</v>
      </c>
      <c r="C36" s="127">
        <f>LN(Price!C37/Price!C36)</f>
        <v>9.6143860552902347E-2</v>
      </c>
      <c r="D36" s="127">
        <f>LN(Price!D37/Price!D36)</f>
        <v>-0.28100120946094842</v>
      </c>
      <c r="E36" s="127">
        <f>LN(Price!E37/Price!E36)</f>
        <v>5.0788058945607548E-2</v>
      </c>
      <c r="F36" s="127">
        <f>LN(Price!F37/Price!F36)</f>
        <v>5.5193883032478498E-2</v>
      </c>
      <c r="G36" s="127">
        <f>LN(Price!G37/Price!G36)</f>
        <v>8.2107813564779475E-2</v>
      </c>
      <c r="H36" s="127">
        <f>LN(Price!H37/Price!H36)</f>
        <v>7.7810884497416716E-2</v>
      </c>
      <c r="I36" s="127">
        <f>LN(Price!I37/Price!I36)</f>
        <v>9.7045789149470874E-2</v>
      </c>
      <c r="J36" s="127">
        <f>LN(Price!J37/Price!J36)</f>
        <v>9.3572151793241326E-2</v>
      </c>
      <c r="K36" s="127">
        <f>LN(Price!K37/Price!K36)</f>
        <v>9.565976904053676E-2</v>
      </c>
      <c r="L36" s="127">
        <f>LN(Price!L37/Price!L36)</f>
        <v>-3.7263126883763549E-2</v>
      </c>
      <c r="M36" s="127">
        <f>LN(Price!M37/Price!M36)</f>
        <v>1.5002255314487749E-2</v>
      </c>
      <c r="N36" s="127">
        <f>LN(Price!N37/Price!N36)</f>
        <v>0.12779136264600857</v>
      </c>
      <c r="O36" s="127">
        <f>LN(Price!O37/Price!O36)</f>
        <v>0.15610189995852006</v>
      </c>
      <c r="P36" s="127">
        <f>LN(Price!P37/Price!P36)</f>
        <v>0.18304750963890357</v>
      </c>
      <c r="Q36" s="127">
        <f>LN(Price!Q37/Price!Q36)</f>
        <v>1.3704591501113531E-2</v>
      </c>
      <c r="R36" s="127">
        <f>LN(Price!R37/Price!R36)</f>
        <v>1.9959885729487214E-2</v>
      </c>
      <c r="S36" s="127">
        <f>LN(Price!S37/Price!S36)</f>
        <v>2.1157814038135506E-2</v>
      </c>
      <c r="T36" s="127">
        <f>LN(Price!T37/Price!T36)</f>
        <v>-8.6237788181739605E-2</v>
      </c>
      <c r="U36" s="127">
        <f>LN(Price!U37/Price!U36)</f>
        <v>0.1376153039994871</v>
      </c>
      <c r="V36" s="127">
        <f>LN(Price!V37/Price!V36)</f>
        <v>6.7039357221903547E-3</v>
      </c>
      <c r="W36" s="127">
        <f>LN(Price!W37/Price!W36)</f>
        <v>5.2967052108941669E-2</v>
      </c>
      <c r="X36" s="127">
        <f>LN(Price!X37/Price!X36)</f>
        <v>8.3857933762739641E-3</v>
      </c>
      <c r="Y36" s="127">
        <f>LN(Price!Y37/Price!Y36)</f>
        <v>0.10124736132996558</v>
      </c>
      <c r="Z36" s="127">
        <f>LN(Price!Z37/Price!Z36)</f>
        <v>0.12482171890202087</v>
      </c>
      <c r="AA36" s="127">
        <f>LN(Price!AA37/Price!AA36)</f>
        <v>7.9373587541512414E-2</v>
      </c>
      <c r="AB36" s="127">
        <f>LN(Price!AB37/Price!AB36)</f>
        <v>-4.8891383866871509E-2</v>
      </c>
      <c r="AC36" s="127">
        <f>LN(Price!AC37/Price!AC36)</f>
        <v>4.2343328054808074E-2</v>
      </c>
      <c r="AD36" s="127">
        <f>LN(Price!AD37/Price!AD36)</f>
        <v>-4.3763745997990001E-3</v>
      </c>
      <c r="AE36" s="127">
        <f>LN(Price!AE37/Price!AE36)</f>
        <v>-1.6236947030256788E-2</v>
      </c>
      <c r="AF36" s="127">
        <f>LN(Price!AF37/Price!AF36)</f>
        <v>6.2148130595920267E-2</v>
      </c>
      <c r="AG36" s="96"/>
    </row>
    <row r="37" spans="1:33" x14ac:dyDescent="0.3">
      <c r="A37" s="126">
        <v>43009</v>
      </c>
      <c r="B37" s="127">
        <f>LN(Price!B38/Price!B37)</f>
        <v>4.9737932938582793E-2</v>
      </c>
      <c r="C37" s="127">
        <f>LN(Price!C38/Price!C37)</f>
        <v>0.1219610909065261</v>
      </c>
      <c r="D37" s="127">
        <f>LN(Price!D38/Price!D37)</f>
        <v>-2.3271105251029173E-2</v>
      </c>
      <c r="E37" s="127">
        <f>LN(Price!E38/Price!E37)</f>
        <v>5.2231466745772975E-2</v>
      </c>
      <c r="F37" s="127">
        <f>LN(Price!F38/Price!F37)</f>
        <v>4.8301194193729413E-2</v>
      </c>
      <c r="G37" s="127">
        <f>LN(Price!G38/Price!G37)</f>
        <v>2.7356212970519926E-2</v>
      </c>
      <c r="H37" s="127">
        <f>LN(Price!H38/Price!H37)</f>
        <v>4.2869273575016097E-2</v>
      </c>
      <c r="I37" s="127">
        <f>LN(Price!I38/Price!I37)</f>
        <v>5.5073010490203141E-2</v>
      </c>
      <c r="J37" s="127">
        <f>LN(Price!J38/Price!J37)</f>
        <v>0.10012823333983237</v>
      </c>
      <c r="K37" s="127">
        <f>LN(Price!K38/Price!K37)</f>
        <v>1.9270197633440206E-2</v>
      </c>
      <c r="L37" s="127">
        <f>LN(Price!L38/Price!L37)</f>
        <v>-1.761180855407795E-2</v>
      </c>
      <c r="M37" s="127">
        <f>LN(Price!M38/Price!M37)</f>
        <v>-1.8303051259448758E-3</v>
      </c>
      <c r="N37" s="127">
        <f>LN(Price!N38/Price!N37)</f>
        <v>0.14128774070369485</v>
      </c>
      <c r="O37" s="127">
        <f>LN(Price!O38/Price!O37)</f>
        <v>-0.12438371968773551</v>
      </c>
      <c r="P37" s="127">
        <f>LN(Price!P38/Price!P37)</f>
        <v>0.21439713987134118</v>
      </c>
      <c r="Q37" s="127">
        <f>LN(Price!Q38/Price!Q37)</f>
        <v>4.7731402821189817E-2</v>
      </c>
      <c r="R37" s="127">
        <f>LN(Price!R38/Price!R37)</f>
        <v>-2.3978354346368226E-2</v>
      </c>
      <c r="S37" s="127">
        <f>LN(Price!S38/Price!S37)</f>
        <v>-3.359703982274196E-2</v>
      </c>
      <c r="T37" s="127">
        <f>LN(Price!T38/Price!T37)</f>
        <v>0.11047840127749618</v>
      </c>
      <c r="U37" s="127">
        <f>LN(Price!U38/Price!U37)</f>
        <v>7.010377698909101E-2</v>
      </c>
      <c r="V37" s="127">
        <f>LN(Price!V38/Price!V37)</f>
        <v>1.7933988727290896E-2</v>
      </c>
      <c r="W37" s="127">
        <f>LN(Price!W38/Price!W37)</f>
        <v>3.0158657275883558E-3</v>
      </c>
      <c r="X37" s="127">
        <f>LN(Price!X38/Price!X37)</f>
        <v>5.5823726277822824E-2</v>
      </c>
      <c r="Y37" s="127">
        <f>LN(Price!Y38/Price!Y37)</f>
        <v>3.8990019833393015E-2</v>
      </c>
      <c r="Z37" s="127">
        <f>LN(Price!Z38/Price!Z37)</f>
        <v>1.4561681086209399E-2</v>
      </c>
      <c r="AA37" s="127">
        <f>LN(Price!AA38/Price!AA37)</f>
        <v>0.11733670670454178</v>
      </c>
      <c r="AB37" s="127">
        <f>LN(Price!AB38/Price!AB37)</f>
        <v>0.16558134756102116</v>
      </c>
      <c r="AC37" s="127">
        <f>LN(Price!AC38/Price!AC37)</f>
        <v>5.9811362390664459E-2</v>
      </c>
      <c r="AD37" s="127">
        <f>LN(Price!AD38/Price!AD37)</f>
        <v>-9.0497219299315687E-2</v>
      </c>
      <c r="AE37" s="127">
        <f>LN(Price!AE38/Price!AE37)</f>
        <v>-1.4426865855858693E-2</v>
      </c>
      <c r="AF37" s="127">
        <f>LN(Price!AF38/Price!AF37)</f>
        <v>3.0757155277105725E-2</v>
      </c>
      <c r="AG37" s="96"/>
    </row>
    <row r="38" spans="1:33" x14ac:dyDescent="0.3">
      <c r="A38" s="126">
        <v>43040</v>
      </c>
      <c r="B38" s="127">
        <f>LN(Price!B39/Price!B38)</f>
        <v>-5.5094653806973752E-2</v>
      </c>
      <c r="C38" s="127">
        <f>LN(Price!C39/Price!C38)</f>
        <v>0.13313041423188512</v>
      </c>
      <c r="D38" s="127">
        <f>LN(Price!D39/Price!D38)</f>
        <v>-1.2399257633204362E-3</v>
      </c>
      <c r="E38" s="127">
        <f>LN(Price!E39/Price!E38)</f>
        <v>-3.1306180978182295E-2</v>
      </c>
      <c r="F38" s="127">
        <f>LN(Price!F39/Price!F38)</f>
        <v>-6.0377541909199207E-3</v>
      </c>
      <c r="G38" s="127">
        <f>LN(Price!G39/Price!G38)</f>
        <v>-7.0138402585240983E-2</v>
      </c>
      <c r="H38" s="127">
        <f>LN(Price!H39/Price!H38)</f>
        <v>1.4392370638349538E-2</v>
      </c>
      <c r="I38" s="127">
        <f>LN(Price!I39/Price!I38)</f>
        <v>-2.5141584172400651E-2</v>
      </c>
      <c r="J38" s="127">
        <f>LN(Price!J39/Price!J38)</f>
        <v>-1.3273583879714002E-2</v>
      </c>
      <c r="K38" s="127">
        <f>LN(Price!K39/Price!K38)</f>
        <v>-3.2759347096904291E-2</v>
      </c>
      <c r="L38" s="127">
        <f>LN(Price!L39/Price!L38)</f>
        <v>2.605067719994255E-2</v>
      </c>
      <c r="M38" s="127">
        <f>LN(Price!M39/Price!M38)</f>
        <v>-8.6606995390618072E-2</v>
      </c>
      <c r="N38" s="127">
        <f>LN(Price!N39/Price!N38)</f>
        <v>0.12064987226048846</v>
      </c>
      <c r="O38" s="127">
        <f>LN(Price!O39/Price!O38)</f>
        <v>0.16048279933436951</v>
      </c>
      <c r="P38" s="127">
        <f>LN(Price!P39/Price!P38)</f>
        <v>-4.6757093167328734E-2</v>
      </c>
      <c r="Q38" s="127">
        <f>LN(Price!Q39/Price!Q38)</f>
        <v>4.6062476465171032E-2</v>
      </c>
      <c r="R38" s="127">
        <f>LN(Price!R39/Price!R38)</f>
        <v>-2.7136013154703723E-2</v>
      </c>
      <c r="S38" s="127">
        <f>LN(Price!S39/Price!S38)</f>
        <v>7.1470629258699597E-2</v>
      </c>
      <c r="T38" s="127">
        <f>LN(Price!T39/Price!T38)</f>
        <v>-0.10884218602290116</v>
      </c>
      <c r="U38" s="127">
        <f>LN(Price!U39/Price!U38)</f>
        <v>4.2602791379576385E-2</v>
      </c>
      <c r="V38" s="127">
        <f>LN(Price!V39/Price!V38)</f>
        <v>1.5466323763269988E-2</v>
      </c>
      <c r="W38" s="127">
        <f>LN(Price!W39/Price!W38)</f>
        <v>5.4057432377526077E-3</v>
      </c>
      <c r="X38" s="127">
        <f>LN(Price!X39/Price!X38)</f>
        <v>-4.1315699788244328E-2</v>
      </c>
      <c r="Y38" s="127">
        <f>LN(Price!Y39/Price!Y38)</f>
        <v>4.0507463980792649E-3</v>
      </c>
      <c r="Z38" s="127">
        <f>LN(Price!Z39/Price!Z38)</f>
        <v>2.6493115204390561E-2</v>
      </c>
      <c r="AA38" s="127">
        <f>LN(Price!AA39/Price!AA38)</f>
        <v>-1.7109827566460203E-2</v>
      </c>
      <c r="AB38" s="127">
        <f>LN(Price!AB39/Price!AB38)</f>
        <v>-3.8294739528807797E-2</v>
      </c>
      <c r="AC38" s="127">
        <f>LN(Price!AC39/Price!AC38)</f>
        <v>-2.1473379163409835E-2</v>
      </c>
      <c r="AD38" s="127">
        <f>LN(Price!AD39/Price!AD38)</f>
        <v>3.4858423096859386E-3</v>
      </c>
      <c r="AE38" s="127">
        <f>LN(Price!AE39/Price!AE38)</f>
        <v>2.4316417080024254E-2</v>
      </c>
      <c r="AF38" s="127">
        <f>LN(Price!AF39/Price!AF38)</f>
        <v>-1.566220207655189E-2</v>
      </c>
      <c r="AG38" s="96"/>
    </row>
    <row r="39" spans="1:33" x14ac:dyDescent="0.3">
      <c r="A39" s="126">
        <v>43070</v>
      </c>
      <c r="B39" s="127">
        <f>LN(Price!B40/Price!B39)</f>
        <v>-2.3716526617316044E-2</v>
      </c>
      <c r="C39" s="127">
        <f>LN(Price!C40/Price!C39)</f>
        <v>-6.7650226274582059E-2</v>
      </c>
      <c r="D39" s="127">
        <f>LN(Price!D40/Price!D39)</f>
        <v>1.1104370734234356E-2</v>
      </c>
      <c r="E39" s="127">
        <f>LN(Price!E40/Price!E39)</f>
        <v>-1.2759343753760099E-2</v>
      </c>
      <c r="F39" s="127">
        <f>LN(Price!F40/Price!F39)</f>
        <v>-3.4136511015743339E-2</v>
      </c>
      <c r="G39" s="127">
        <f>LN(Price!G40/Price!G39)</f>
        <v>1.6855684402692677E-2</v>
      </c>
      <c r="H39" s="127">
        <f>LN(Price!H40/Price!H39)</f>
        <v>-3.5158248169743327E-3</v>
      </c>
      <c r="I39" s="127">
        <f>LN(Price!I40/Price!I39)</f>
        <v>1.8244519742537494E-2</v>
      </c>
      <c r="J39" s="127">
        <f>LN(Price!J40/Price!J39)</f>
        <v>-1.5638893884454778E-2</v>
      </c>
      <c r="K39" s="127">
        <f>LN(Price!K40/Price!K39)</f>
        <v>2.5072737805889186E-2</v>
      </c>
      <c r="L39" s="127">
        <f>LN(Price!L40/Price!L39)</f>
        <v>4.3602282729776863E-3</v>
      </c>
      <c r="M39" s="127">
        <f>LN(Price!M40/Price!M39)</f>
        <v>-4.70365656361834E-2</v>
      </c>
      <c r="N39" s="127">
        <f>LN(Price!N40/Price!N39)</f>
        <v>-7.4243630579911039E-3</v>
      </c>
      <c r="O39" s="127">
        <f>LN(Price!O40/Price!O39)</f>
        <v>2.5458813352799411E-2</v>
      </c>
      <c r="P39" s="127">
        <f>LN(Price!P40/Price!P39)</f>
        <v>-9.1008307752654893E-2</v>
      </c>
      <c r="Q39" s="127">
        <f>LN(Price!Q40/Price!Q39)</f>
        <v>4.5726488018170169E-2</v>
      </c>
      <c r="R39" s="127">
        <f>LN(Price!R40/Price!R39)</f>
        <v>3.5718310102984788E-3</v>
      </c>
      <c r="S39" s="127">
        <f>LN(Price!S40/Price!S39)</f>
        <v>1.6141980275720974E-2</v>
      </c>
      <c r="T39" s="127">
        <f>LN(Price!T40/Price!T39)</f>
        <v>-0.12461833226224096</v>
      </c>
      <c r="U39" s="127">
        <f>LN(Price!U40/Price!U39)</f>
        <v>-1.0983635133964076E-2</v>
      </c>
      <c r="V39" s="127">
        <f>LN(Price!V40/Price!V39)</f>
        <v>-1.8478786674042777E-2</v>
      </c>
      <c r="W39" s="127">
        <f>LN(Price!W40/Price!W39)</f>
        <v>5.0346398397442677E-2</v>
      </c>
      <c r="X39" s="127">
        <f>LN(Price!X40/Price!X39)</f>
        <v>-7.0316498417459711E-2</v>
      </c>
      <c r="Y39" s="127">
        <f>LN(Price!Y40/Price!Y39)</f>
        <v>-2.4336293100978002E-2</v>
      </c>
      <c r="Z39" s="127">
        <f>LN(Price!Z40/Price!Z39)</f>
        <v>5.7932425839769186E-3</v>
      </c>
      <c r="AA39" s="127">
        <f>LN(Price!AA40/Price!AA39)</f>
        <v>0.13568619924223954</v>
      </c>
      <c r="AB39" s="127">
        <f>LN(Price!AB40/Price!AB39)</f>
        <v>-2.985296314968116E-2</v>
      </c>
      <c r="AC39" s="127">
        <f>LN(Price!AC40/Price!AC39)</f>
        <v>-4.0274627905037261E-2</v>
      </c>
      <c r="AD39" s="127">
        <f>LN(Price!AD40/Price!AD39)</f>
        <v>5.2119399349856078E-2</v>
      </c>
      <c r="AE39" s="127">
        <f>LN(Price!AE40/Price!AE39)</f>
        <v>-1.3990318540803598E-2</v>
      </c>
      <c r="AF39" s="127">
        <f>LN(Price!AF40/Price!AF39)</f>
        <v>-8.1984545015470131E-3</v>
      </c>
      <c r="AG39" s="96"/>
    </row>
    <row r="40" spans="1:33" x14ac:dyDescent="0.3">
      <c r="A40" s="126">
        <v>43101</v>
      </c>
      <c r="B40" s="127">
        <f>LN(Price!B41/Price!B40)</f>
        <v>7.9681696491768813E-3</v>
      </c>
      <c r="C40" s="127">
        <f>LN(Price!C41/Price!C40)</f>
        <v>6.1567756519697023E-2</v>
      </c>
      <c r="D40" s="127">
        <f>LN(Price!D41/Price!D40)</f>
        <v>-0.10060022105152611</v>
      </c>
      <c r="E40" s="127">
        <f>LN(Price!E41/Price!E40)</f>
        <v>-2.8436906387449747E-2</v>
      </c>
      <c r="F40" s="127">
        <f>LN(Price!F41/Price!F40)</f>
        <v>6.0778196261949087E-2</v>
      </c>
      <c r="G40" s="127">
        <f>LN(Price!G41/Price!G40)</f>
        <v>5.0471562397915323E-2</v>
      </c>
      <c r="H40" s="127">
        <f>LN(Price!H41/Price!H40)</f>
        <v>-4.318327070593489E-2</v>
      </c>
      <c r="I40" s="127">
        <f>LN(Price!I41/Price!I40)</f>
        <v>4.055077130188519E-2</v>
      </c>
      <c r="J40" s="127">
        <f>LN(Price!J41/Price!J40)</f>
        <v>2.4649896715009886E-2</v>
      </c>
      <c r="K40" s="127">
        <f>LN(Price!K41/Price!K40)</f>
        <v>5.7510252842052502E-2</v>
      </c>
      <c r="L40" s="127">
        <f>LN(Price!L41/Price!L40)</f>
        <v>5.9915653335834894E-2</v>
      </c>
      <c r="M40" s="127">
        <f>LN(Price!M41/Price!M40)</f>
        <v>0.11381999658393527</v>
      </c>
      <c r="N40" s="127">
        <f>LN(Price!N41/Price!N40)</f>
        <v>6.4108506080418126E-2</v>
      </c>
      <c r="O40" s="127">
        <f>LN(Price!O41/Price!O40)</f>
        <v>0.20650950441684701</v>
      </c>
      <c r="P40" s="127">
        <f>LN(Price!P41/Price!P40)</f>
        <v>0.11406058726481749</v>
      </c>
      <c r="Q40" s="127">
        <f>LN(Price!Q41/Price!Q40)</f>
        <v>-4.143626061748093E-2</v>
      </c>
      <c r="R40" s="127">
        <f>LN(Price!R41/Price!R40)</f>
        <v>-1.9463965985442915E-2</v>
      </c>
      <c r="S40" s="127">
        <f>LN(Price!S41/Price!S40)</f>
        <v>6.5474291845246002E-2</v>
      </c>
      <c r="T40" s="127">
        <f>LN(Price!T41/Price!T40)</f>
        <v>-5.2593684687833923E-2</v>
      </c>
      <c r="U40" s="127">
        <f>LN(Price!U41/Price!U40)</f>
        <v>-3.4732806918891725E-2</v>
      </c>
      <c r="V40" s="127">
        <f>LN(Price!V41/Price!V40)</f>
        <v>-1.6469946078221211E-3</v>
      </c>
      <c r="W40" s="127">
        <f>LN(Price!W41/Price!W40)</f>
        <v>5.7765808893168062E-2</v>
      </c>
      <c r="X40" s="127">
        <f>LN(Price!X41/Price!X40)</f>
        <v>-6.851994643675606E-2</v>
      </c>
      <c r="Y40" s="127">
        <f>LN(Price!Y41/Price!Y40)</f>
        <v>2.77347670600895E-2</v>
      </c>
      <c r="Z40" s="127">
        <f>LN(Price!Z41/Price!Z40)</f>
        <v>7.137468797049551E-2</v>
      </c>
      <c r="AA40" s="127">
        <f>LN(Price!AA41/Price!AA40)</f>
        <v>-8.4347492625167775E-2</v>
      </c>
      <c r="AB40" s="127">
        <f>LN(Price!AB41/Price!AB40)</f>
        <v>-6.8402726884400522E-2</v>
      </c>
      <c r="AC40" s="127">
        <f>LN(Price!AC41/Price!AC40)</f>
        <v>5.4693764882906594E-2</v>
      </c>
      <c r="AD40" s="127">
        <f>LN(Price!AD41/Price!AD40)</f>
        <v>4.5205436768046781E-2</v>
      </c>
      <c r="AE40" s="127">
        <f>LN(Price!AE41/Price!AE40)</f>
        <v>4.5051370929733381E-2</v>
      </c>
      <c r="AF40" s="127">
        <f>LN(Price!AF41/Price!AF40)</f>
        <v>2.0825723015248154E-2</v>
      </c>
      <c r="AG40" s="96"/>
    </row>
    <row r="41" spans="1:33" x14ac:dyDescent="0.3">
      <c r="A41" s="126">
        <v>43132</v>
      </c>
      <c r="B41" s="127">
        <f>LN(Price!B42/Price!B41)</f>
        <v>-1.9534806020642368E-2</v>
      </c>
      <c r="C41" s="127">
        <f>LN(Price!C42/Price!C41)</f>
        <v>-9.4113291570478763E-2</v>
      </c>
      <c r="D41" s="127">
        <f>LN(Price!D42/Price!D41)</f>
        <v>-0.42672062208357553</v>
      </c>
      <c r="E41" s="127">
        <f>LN(Price!E42/Price!E41)</f>
        <v>-5.2319449844474779E-2</v>
      </c>
      <c r="F41" s="127">
        <f>LN(Price!F42/Price!F41)</f>
        <v>-5.8066471613171848E-2</v>
      </c>
      <c r="G41" s="127">
        <f>LN(Price!G42/Price!G41)</f>
        <v>-0.11915748140893141</v>
      </c>
      <c r="H41" s="127">
        <f>LN(Price!H42/Price!H41)</f>
        <v>-1.1359255677227079E-2</v>
      </c>
      <c r="I41" s="127">
        <f>LN(Price!I42/Price!I41)</f>
        <v>-4.5222684662628194E-2</v>
      </c>
      <c r="J41" s="127">
        <f>LN(Price!J42/Price!J41)</f>
        <v>-4.4102322641825308E-2</v>
      </c>
      <c r="K41" s="127">
        <f>LN(Price!K42/Price!K41)</f>
        <v>-5.7625427043158858E-2</v>
      </c>
      <c r="L41" s="127">
        <f>LN(Price!L42/Price!L41)</f>
        <v>0.1374637610422435</v>
      </c>
      <c r="M41" s="127">
        <f>LN(Price!M42/Price!M41)</f>
        <v>-2.5413641289174817E-2</v>
      </c>
      <c r="N41" s="127">
        <f>LN(Price!N42/Price!N41)</f>
        <v>-7.3611817343245955E-2</v>
      </c>
      <c r="O41" s="127">
        <f>LN(Price!O42/Price!O41)</f>
        <v>-4.5759617149466816E-2</v>
      </c>
      <c r="P41" s="127">
        <f>LN(Price!P42/Price!P41)</f>
        <v>-3.1216847703711546E-2</v>
      </c>
      <c r="Q41" s="127">
        <f>LN(Price!Q42/Price!Q41)</f>
        <v>-5.5929666933016403E-2</v>
      </c>
      <c r="R41" s="127">
        <f>LN(Price!R42/Price!R41)</f>
        <v>-6.8165479913212965E-2</v>
      </c>
      <c r="S41" s="127">
        <f>LN(Price!S42/Price!S41)</f>
        <v>5.7346537841094683E-2</v>
      </c>
      <c r="T41" s="127">
        <f>LN(Price!T42/Price!T41)</f>
        <v>1.7414177566660555E-2</v>
      </c>
      <c r="U41" s="127">
        <f>LN(Price!U42/Price!U41)</f>
        <v>-4.7543540280582039E-2</v>
      </c>
      <c r="V41" s="127">
        <f>LN(Price!V42/Price!V41)</f>
        <v>-6.9679920637989709E-2</v>
      </c>
      <c r="W41" s="127">
        <f>LN(Price!W42/Price!W41)</f>
        <v>-6.5542609294798854E-2</v>
      </c>
      <c r="X41" s="127">
        <f>LN(Price!X42/Price!X41)</f>
        <v>-1.1890746521521786E-2</v>
      </c>
      <c r="Y41" s="127">
        <f>LN(Price!Y42/Price!Y41)</f>
        <v>-8.7589846375807495E-2</v>
      </c>
      <c r="Z41" s="127">
        <f>LN(Price!Z42/Price!Z41)</f>
        <v>-6.8490603885947299E-2</v>
      </c>
      <c r="AA41" s="127">
        <f>LN(Price!AA42/Price!AA41)</f>
        <v>-7.4307102618021967E-2</v>
      </c>
      <c r="AB41" s="127">
        <f>LN(Price!AB42/Price!AB41)</f>
        <v>6.4261934218369107E-2</v>
      </c>
      <c r="AC41" s="127">
        <f>LN(Price!AC42/Price!AC41)</f>
        <v>-2.7862287234293362E-2</v>
      </c>
      <c r="AD41" s="127">
        <f>LN(Price!AD42/Price!AD41)</f>
        <v>-0.12690103737988273</v>
      </c>
      <c r="AE41" s="127">
        <f>LN(Price!AE42/Price!AE41)</f>
        <v>2.0550570487367706E-2</v>
      </c>
      <c r="AF41" s="127">
        <f>LN(Price!AF42/Price!AF41)</f>
        <v>-5.8836111778598842E-2</v>
      </c>
      <c r="AG41" s="96"/>
    </row>
    <row r="42" spans="1:33" x14ac:dyDescent="0.3">
      <c r="A42" s="126">
        <v>43160</v>
      </c>
      <c r="B42" s="127">
        <f>LN(Price!B43/Price!B42)</f>
        <v>3.4306123340954842E-2</v>
      </c>
      <c r="C42" s="127">
        <f>LN(Price!C43/Price!C42)</f>
        <v>1.6124034501082494E-3</v>
      </c>
      <c r="D42" s="127">
        <f>LN(Price!D43/Price!D42)</f>
        <v>-0.11908325687713664</v>
      </c>
      <c r="E42" s="127">
        <f>LN(Price!E43/Price!E42)</f>
        <v>-1.437192465419747E-2</v>
      </c>
      <c r="F42" s="127">
        <f>LN(Price!F43/Price!F42)</f>
        <v>-4.5929973447113255E-2</v>
      </c>
      <c r="G42" s="127">
        <f>LN(Price!G43/Price!G42)</f>
        <v>-4.6378751712246022E-2</v>
      </c>
      <c r="H42" s="127">
        <f>LN(Price!H43/Price!H42)</f>
        <v>-5.7971396593209462E-2</v>
      </c>
      <c r="I42" s="127">
        <f>LN(Price!I43/Price!I42)</f>
        <v>-2.1515459895731188E-2</v>
      </c>
      <c r="J42" s="127">
        <f>LN(Price!J43/Price!J42)</f>
        <v>-2.9907077167930791E-2</v>
      </c>
      <c r="K42" s="127">
        <f>LN(Price!K43/Price!K42)</f>
        <v>1.5202898972431949E-2</v>
      </c>
      <c r="L42" s="127">
        <f>LN(Price!L43/Price!L42)</f>
        <v>-1.6620881236040407E-2</v>
      </c>
      <c r="M42" s="127">
        <f>LN(Price!M43/Price!M42)</f>
        <v>7.412753071695044E-2</v>
      </c>
      <c r="N42" s="127">
        <f>LN(Price!N43/Price!N42)</f>
        <v>-2.3716526617316155E-2</v>
      </c>
      <c r="O42" s="127">
        <f>LN(Price!O43/Price!O42)</f>
        <v>-0.1397619423751586</v>
      </c>
      <c r="P42" s="127">
        <f>LN(Price!P43/Price!P42)</f>
        <v>-9.569695219359825E-2</v>
      </c>
      <c r="Q42" s="127">
        <f>LN(Price!Q43/Price!Q42)</f>
        <v>6.9436625654428721E-2</v>
      </c>
      <c r="R42" s="127">
        <f>LN(Price!R43/Price!R42)</f>
        <v>-5.3972628593029655E-2</v>
      </c>
      <c r="S42" s="127">
        <f>LN(Price!S43/Price!S42)</f>
        <v>1.0452265119362494E-2</v>
      </c>
      <c r="T42" s="127">
        <f>LN(Price!T43/Price!T42)</f>
        <v>0.20090317250609016</v>
      </c>
      <c r="U42" s="127">
        <f>LN(Price!U43/Price!U42)</f>
        <v>-5.8309203107930986E-3</v>
      </c>
      <c r="V42" s="127">
        <f>LN(Price!V43/Price!V42)</f>
        <v>0.11006225808367535</v>
      </c>
      <c r="W42" s="127">
        <f>LN(Price!W43/Price!W42)</f>
        <v>-4.8457268953735193E-2</v>
      </c>
      <c r="X42" s="127">
        <f>LN(Price!X43/Price!X42)</f>
        <v>7.5985906977922055E-2</v>
      </c>
      <c r="Y42" s="127">
        <f>LN(Price!Y43/Price!Y42)</f>
        <v>-4.6668819008043809E-2</v>
      </c>
      <c r="Z42" s="127">
        <f>LN(Price!Z43/Price!Z42)</f>
        <v>-6.2222422973272585E-3</v>
      </c>
      <c r="AA42" s="127">
        <f>LN(Price!AA43/Price!AA42)</f>
        <v>-0.1404592114330428</v>
      </c>
      <c r="AB42" s="127">
        <f>LN(Price!AB43/Price!AB42)</f>
        <v>9.2413999476083392E-2</v>
      </c>
      <c r="AC42" s="127">
        <f>LN(Price!AC43/Price!AC42)</f>
        <v>1.3975008581906812E-2</v>
      </c>
      <c r="AD42" s="127">
        <f>LN(Price!AD43/Price!AD42)</f>
        <v>-5.1953765232902481E-2</v>
      </c>
      <c r="AE42" s="127">
        <f>LN(Price!AE43/Price!AE42)</f>
        <v>-2.9003706198425794E-2</v>
      </c>
      <c r="AF42" s="127">
        <f>LN(Price!AF43/Price!AF42)</f>
        <v>-2.7648262222314413E-2</v>
      </c>
      <c r="AG42" s="96"/>
    </row>
    <row r="43" spans="1:33" x14ac:dyDescent="0.3">
      <c r="A43" s="126">
        <v>43191</v>
      </c>
      <c r="B43" s="127">
        <f>LN(Price!B44/Price!B43)</f>
        <v>-3.5318269176349518E-2</v>
      </c>
      <c r="C43" s="127">
        <f>LN(Price!C44/Price!C43)</f>
        <v>6.2801978900139388E-2</v>
      </c>
      <c r="D43" s="127">
        <f>LN(Price!D44/Price!D43)</f>
        <v>-6.2822585922055321E-2</v>
      </c>
      <c r="E43" s="127">
        <f>LN(Price!E44/Price!E43)</f>
        <v>8.4045152426670336E-2</v>
      </c>
      <c r="F43" s="127">
        <f>LN(Price!F44/Price!F43)</f>
        <v>6.8789288424358982E-2</v>
      </c>
      <c r="G43" s="127">
        <f>LN(Price!G44/Price!G43)</f>
        <v>2.0260571052725624E-2</v>
      </c>
      <c r="H43" s="127">
        <f>LN(Price!H44/Price!H43)</f>
        <v>1.6196947214865892E-2</v>
      </c>
      <c r="I43" s="127">
        <f>LN(Price!I44/Price!I43)</f>
        <v>-5.1621484801993613E-2</v>
      </c>
      <c r="J43" s="127">
        <f>LN(Price!J44/Price!J43)</f>
        <v>-2.1386217219619669E-2</v>
      </c>
      <c r="K43" s="127">
        <f>LN(Price!K44/Price!K43)</f>
        <v>4.7844358745667975E-2</v>
      </c>
      <c r="L43" s="127">
        <f>LN(Price!L44/Price!L43)</f>
        <v>5.1712201047310696E-2</v>
      </c>
      <c r="M43" s="127">
        <f>LN(Price!M44/Price!M43)</f>
        <v>3.6204178702590871E-2</v>
      </c>
      <c r="N43" s="127">
        <f>LN(Price!N44/Price!N43)</f>
        <v>4.7731402821189817E-2</v>
      </c>
      <c r="O43" s="127">
        <f>LN(Price!O44/Price!O43)</f>
        <v>-3.9220713153281267E-2</v>
      </c>
      <c r="P43" s="127">
        <f>LN(Price!P44/Price!P43)</f>
        <v>0.14105620159252882</v>
      </c>
      <c r="Q43" s="127">
        <f>LN(Price!Q44/Price!Q43)</f>
        <v>3.3230519130277449E-2</v>
      </c>
      <c r="R43" s="127">
        <f>LN(Price!R44/Price!R43)</f>
        <v>4.1735569381449011E-2</v>
      </c>
      <c r="S43" s="127">
        <f>LN(Price!S44/Price!S43)</f>
        <v>9.4488891979325092E-3</v>
      </c>
      <c r="T43" s="127">
        <f>LN(Price!T44/Price!T43)</f>
        <v>3.8979293605172556E-2</v>
      </c>
      <c r="U43" s="127">
        <f>LN(Price!U44/Price!U43)</f>
        <v>4.4324625071457152E-2</v>
      </c>
      <c r="V43" s="127">
        <f>LN(Price!V44/Price!V43)</f>
        <v>3.2193849879549485E-2</v>
      </c>
      <c r="W43" s="127">
        <f>LN(Price!W44/Price!W43)</f>
        <v>1.5544974031266411E-2</v>
      </c>
      <c r="X43" s="127">
        <f>LN(Price!X44/Price!X43)</f>
        <v>5.5279300525130108E-3</v>
      </c>
      <c r="Y43" s="127">
        <f>LN(Price!Y44/Price!Y43)</f>
        <v>4.5626730104615078E-2</v>
      </c>
      <c r="Z43" s="127">
        <f>LN(Price!Z44/Price!Z43)</f>
        <v>-1.3917171877983057E-2</v>
      </c>
      <c r="AA43" s="127">
        <f>LN(Price!AA44/Price!AA43)</f>
        <v>-5.3619431413852872E-3</v>
      </c>
      <c r="AB43" s="127">
        <f>LN(Price!AB44/Price!AB43)</f>
        <v>1.9975695423643827E-2</v>
      </c>
      <c r="AC43" s="127">
        <f>LN(Price!AC44/Price!AC43)</f>
        <v>4.4035405534770455E-3</v>
      </c>
      <c r="AD43" s="127">
        <f>LN(Price!AD44/Price!AD43)</f>
        <v>1.9163942409911525E-2</v>
      </c>
      <c r="AE43" s="127">
        <f>LN(Price!AE44/Price!AE43)</f>
        <v>5.6120335135866325E-2</v>
      </c>
      <c r="AF43" s="127">
        <f>LN(Price!AF44/Price!AF43)</f>
        <v>4.1722295351725884E-2</v>
      </c>
      <c r="AG43" s="96"/>
    </row>
    <row r="44" spans="1:33" x14ac:dyDescent="0.3">
      <c r="A44" s="126">
        <v>43221</v>
      </c>
      <c r="B44" s="127">
        <f>LN(Price!B45/Price!B44)</f>
        <v>-2.3566664429493133E-2</v>
      </c>
      <c r="C44" s="127">
        <f>LN(Price!C45/Price!C44)</f>
        <v>-6.5532186602513171E-2</v>
      </c>
      <c r="D44" s="127">
        <f>LN(Price!D45/Price!D44)</f>
        <v>0.26943683528505458</v>
      </c>
      <c r="E44" s="127">
        <f>LN(Price!E45/Price!E44)</f>
        <v>4.15401957599544E-2</v>
      </c>
      <c r="F44" s="127">
        <f>LN(Price!F45/Price!F44)</f>
        <v>-0.10781808978668882</v>
      </c>
      <c r="G44" s="127">
        <f>LN(Price!G45/Price!G44)</f>
        <v>5.3962206830693936E-2</v>
      </c>
      <c r="H44" s="127">
        <f>LN(Price!H45/Price!H44)</f>
        <v>-0.10597627922408072</v>
      </c>
      <c r="I44" s="127">
        <f>LN(Price!I45/Price!I44)</f>
        <v>-6.0090413386132163E-2</v>
      </c>
      <c r="J44" s="127">
        <f>LN(Price!J45/Price!J44)</f>
        <v>9.8807134197377758E-2</v>
      </c>
      <c r="K44" s="127">
        <f>LN(Price!K45/Price!K44)</f>
        <v>-7.9772386259731279E-2</v>
      </c>
      <c r="L44" s="127">
        <f>LN(Price!L45/Price!L44)</f>
        <v>9.422446885866137E-2</v>
      </c>
      <c r="M44" s="127">
        <f>LN(Price!M45/Price!M44)</f>
        <v>-5.1835502737932915E-2</v>
      </c>
      <c r="N44" s="127">
        <f>LN(Price!N45/Price!N44)</f>
        <v>-0.11545523860483642</v>
      </c>
      <c r="O44" s="127">
        <f>LN(Price!O45/Price!O44)</f>
        <v>2.7615167032973391E-2</v>
      </c>
      <c r="P44" s="127">
        <f>LN(Price!P45/Price!P44)</f>
        <v>0.13915119644254637</v>
      </c>
      <c r="Q44" s="127">
        <f>LN(Price!Q45/Price!Q44)</f>
        <v>-3.0501327509441761E-2</v>
      </c>
      <c r="R44" s="127">
        <f>LN(Price!R45/Price!R44)</f>
        <v>7.2647025799263146E-2</v>
      </c>
      <c r="S44" s="127">
        <f>LN(Price!S45/Price!S44)</f>
        <v>2.4332100659530721E-2</v>
      </c>
      <c r="T44" s="127">
        <f>LN(Price!T45/Price!T44)</f>
        <v>-2.4441135159145578E-2</v>
      </c>
      <c r="U44" s="127">
        <f>LN(Price!U45/Price!U44)</f>
        <v>0.12289813632315387</v>
      </c>
      <c r="V44" s="127">
        <f>LN(Price!V45/Price!V44)</f>
        <v>2.4979222310895218E-2</v>
      </c>
      <c r="W44" s="127">
        <f>LN(Price!W45/Price!W44)</f>
        <v>1.3435676477332186E-2</v>
      </c>
      <c r="X44" s="127">
        <f>LN(Price!X45/Price!X44)</f>
        <v>0</v>
      </c>
      <c r="Y44" s="127">
        <f>LN(Price!Y45/Price!Y44)</f>
        <v>-2.4272751717408086E-2</v>
      </c>
      <c r="Z44" s="127">
        <f>LN(Price!Z45/Price!Z44)</f>
        <v>-1.8709192763933499E-2</v>
      </c>
      <c r="AA44" s="127">
        <f>LN(Price!AA45/Price!AA44)</f>
        <v>-0.10416648566521854</v>
      </c>
      <c r="AB44" s="127">
        <f>LN(Price!AB45/Price!AB44)</f>
        <v>0.24925214666734219</v>
      </c>
      <c r="AC44" s="127">
        <f>LN(Price!AC45/Price!AC44)</f>
        <v>-5.0986857824485129E-2</v>
      </c>
      <c r="AD44" s="127">
        <f>LN(Price!AD45/Price!AD44)</f>
        <v>4.3928276139324998E-2</v>
      </c>
      <c r="AE44" s="127">
        <f>LN(Price!AE45/Price!AE44)</f>
        <v>-0.12523448489596412</v>
      </c>
      <c r="AF44" s="127">
        <f>LN(Price!AF45/Price!AF44)</f>
        <v>-5.7262959093391515E-4</v>
      </c>
      <c r="AG44" s="96"/>
    </row>
    <row r="45" spans="1:33" x14ac:dyDescent="0.3">
      <c r="A45" s="126">
        <v>43252</v>
      </c>
      <c r="B45" s="127">
        <f>LN(Price!B46/Price!B45)</f>
        <v>-1.251972534492782E-2</v>
      </c>
      <c r="C45" s="127">
        <f>LN(Price!C46/Price!C45)</f>
        <v>-0.12365647026261495</v>
      </c>
      <c r="D45" s="127">
        <f>LN(Price!D46/Price!D45)</f>
        <v>2.6317308317373358E-2</v>
      </c>
      <c r="E45" s="127">
        <f>LN(Price!E46/Price!E45)</f>
        <v>2.6731070846499928E-2</v>
      </c>
      <c r="F45" s="127">
        <f>LN(Price!F46/Price!F45)</f>
        <v>3.6219620806963427E-3</v>
      </c>
      <c r="G45" s="127">
        <f>LN(Price!G46/Price!G45)</f>
        <v>1.5303650599176963E-2</v>
      </c>
      <c r="H45" s="127">
        <f>LN(Price!H46/Price!H45)</f>
        <v>-0.14918407890088628</v>
      </c>
      <c r="I45" s="127">
        <f>LN(Price!I46/Price!I45)</f>
        <v>-0.11226569665348178</v>
      </c>
      <c r="J45" s="127">
        <f>LN(Price!J46/Price!J45)</f>
        <v>-7.3289628108968954E-2</v>
      </c>
      <c r="K45" s="127">
        <f>LN(Price!K46/Price!K45)</f>
        <v>-9.5157930912227004E-2</v>
      </c>
      <c r="L45" s="127">
        <f>LN(Price!L46/Price!L45)</f>
        <v>6.991781072808835E-2</v>
      </c>
      <c r="M45" s="127">
        <f>LN(Price!M46/Price!M45)</f>
        <v>-3.4952973419353932E-2</v>
      </c>
      <c r="N45" s="127">
        <f>LN(Price!N46/Price!N45)</f>
        <v>-0.14510274855963093</v>
      </c>
      <c r="O45" s="127">
        <f>LN(Price!O46/Price!O45)</f>
        <v>-9.3754969537518384E-2</v>
      </c>
      <c r="P45" s="127">
        <f>LN(Price!P46/Price!P45)</f>
        <v>-7.9614075005165083E-2</v>
      </c>
      <c r="Q45" s="127">
        <f>LN(Price!Q46/Price!Q45)</f>
        <v>9.8620128691158434E-3</v>
      </c>
      <c r="R45" s="127">
        <f>LN(Price!R46/Price!R45)</f>
        <v>-4.3525822128995868E-2</v>
      </c>
      <c r="S45" s="127">
        <f>LN(Price!S46/Price!S45)</f>
        <v>-2.1877059698929922E-3</v>
      </c>
      <c r="T45" s="127">
        <f>LN(Price!T46/Price!T45)</f>
        <v>6.678678819305315E-3</v>
      </c>
      <c r="U45" s="127">
        <f>LN(Price!U46/Price!U45)</f>
        <v>1.7775521659908256E-2</v>
      </c>
      <c r="V45" s="127">
        <f>LN(Price!V46/Price!V45)</f>
        <v>3.1156696552443297E-2</v>
      </c>
      <c r="W45" s="127">
        <f>LN(Price!W46/Price!W45)</f>
        <v>1.1175902119234551E-2</v>
      </c>
      <c r="X45" s="127">
        <f>LN(Price!X46/Price!X45)</f>
        <v>8.7816151603846183E-3</v>
      </c>
      <c r="Y45" s="127">
        <f>LN(Price!Y46/Price!Y45)</f>
        <v>-2.8167485704960523E-2</v>
      </c>
      <c r="Z45" s="127">
        <f>LN(Price!Z46/Price!Z45)</f>
        <v>-0.10454197568272292</v>
      </c>
      <c r="AA45" s="127">
        <f>LN(Price!AA46/Price!AA45)</f>
        <v>-0.16013513814249875</v>
      </c>
      <c r="AB45" s="127">
        <f>LN(Price!AB46/Price!AB45)</f>
        <v>-3.5297782081023819E-2</v>
      </c>
      <c r="AC45" s="127">
        <f>LN(Price!AC46/Price!AC45)</f>
        <v>8.9288783318393228E-3</v>
      </c>
      <c r="AD45" s="127">
        <f>LN(Price!AD46/Price!AD45)</f>
        <v>-8.0707527642621554E-2</v>
      </c>
      <c r="AE45" s="127">
        <f>LN(Price!AE46/Price!AE45)</f>
        <v>-5.292240145434244E-2</v>
      </c>
      <c r="AF45" s="127">
        <f>LN(Price!AF46/Price!AF45)</f>
        <v>-2.3997885587751022E-2</v>
      </c>
      <c r="AG45" s="96"/>
    </row>
    <row r="46" spans="1:33" x14ac:dyDescent="0.3">
      <c r="A46" s="126">
        <v>43282</v>
      </c>
      <c r="B46" s="127">
        <f>LN(Price!B47/Price!B46)</f>
        <v>-3.7982634744391168E-2</v>
      </c>
      <c r="C46" s="127">
        <f>LN(Price!C47/Price!C46)</f>
        <v>6.7951688383873707E-2</v>
      </c>
      <c r="D46" s="127">
        <f>LN(Price!D47/Price!D46)</f>
        <v>0.13838970177559906</v>
      </c>
      <c r="E46" s="127">
        <f>LN(Price!E47/Price!E46)</f>
        <v>9.0543878132493382E-3</v>
      </c>
      <c r="F46" s="127">
        <f>LN(Price!F47/Price!F46)</f>
        <v>6.6224761046635147E-2</v>
      </c>
      <c r="G46" s="127">
        <f>LN(Price!G47/Price!G46)</f>
        <v>6.4501777370228483E-2</v>
      </c>
      <c r="H46" s="127">
        <f>LN(Price!H47/Price!H46)</f>
        <v>7.6378236504879196E-2</v>
      </c>
      <c r="I46" s="127">
        <f>LN(Price!I47/Price!I46)</f>
        <v>7.0382557822803435E-2</v>
      </c>
      <c r="J46" s="127">
        <f>LN(Price!J47/Price!J46)</f>
        <v>3.7316085038007707E-2</v>
      </c>
      <c r="K46" s="127">
        <f>LN(Price!K47/Price!K46)</f>
        <v>6.3144725316486336E-2</v>
      </c>
      <c r="L46" s="127">
        <f>LN(Price!L47/Price!L46)</f>
        <v>0.13802325868361087</v>
      </c>
      <c r="M46" s="127">
        <f>LN(Price!M47/Price!M46)</f>
        <v>1.1699149655915607E-2</v>
      </c>
      <c r="N46" s="127">
        <f>LN(Price!N47/Price!N46)</f>
        <v>5.9416371043742741E-2</v>
      </c>
      <c r="O46" s="127">
        <f>LN(Price!O47/Price!O46)</f>
        <v>0.10150694634183638</v>
      </c>
      <c r="P46" s="127">
        <f>LN(Price!P47/Price!P46)</f>
        <v>-2.091321779997499E-3</v>
      </c>
      <c r="Q46" s="127">
        <f>LN(Price!Q47/Price!Q46)</f>
        <v>1.5821189202951749E-2</v>
      </c>
      <c r="R46" s="127">
        <f>LN(Price!R47/Price!R46)</f>
        <v>4.9689521587990358E-2</v>
      </c>
      <c r="S46" s="127">
        <f>LN(Price!S47/Price!S46)</f>
        <v>-1.2783951930073967E-2</v>
      </c>
      <c r="T46" s="127">
        <f>LN(Price!T47/Price!T46)</f>
        <v>0.13889333576590804</v>
      </c>
      <c r="U46" s="127">
        <f>LN(Price!U47/Price!U46)</f>
        <v>9.4978743022856402E-2</v>
      </c>
      <c r="V46" s="127">
        <f>LN(Price!V47/Price!V46)</f>
        <v>6.2605550015571755E-3</v>
      </c>
      <c r="W46" s="127">
        <f>LN(Price!W47/Price!W46)</f>
        <v>-3.3430608463525677E-2</v>
      </c>
      <c r="X46" s="127">
        <f>LN(Price!X47/Price!X46)</f>
        <v>5.2167229335024226E-2</v>
      </c>
      <c r="Y46" s="127">
        <f>LN(Price!Y47/Price!Y46)</f>
        <v>3.0474820927921175E-3</v>
      </c>
      <c r="Z46" s="127">
        <f>LN(Price!Z47/Price!Z46)</f>
        <v>7.3876275364652333E-3</v>
      </c>
      <c r="AA46" s="127">
        <f>LN(Price!AA47/Price!AA46)</f>
        <v>-1.694955831377332E-2</v>
      </c>
      <c r="AB46" s="127">
        <f>LN(Price!AB47/Price!AB46)</f>
        <v>-0.15514918215684786</v>
      </c>
      <c r="AC46" s="127">
        <f>LN(Price!AC47/Price!AC46)</f>
        <v>4.6020473120089833E-2</v>
      </c>
      <c r="AD46" s="127">
        <f>LN(Price!AD47/Price!AD46)</f>
        <v>9.1723281247106811E-2</v>
      </c>
      <c r="AE46" s="127">
        <f>LN(Price!AE47/Price!AE46)</f>
        <v>4.4396162226097408E-2</v>
      </c>
      <c r="AF46" s="127">
        <f>LN(Price!AF47/Price!AF46)</f>
        <v>3.978781781803524E-2</v>
      </c>
      <c r="AG46" s="96"/>
    </row>
    <row r="47" spans="1:33" x14ac:dyDescent="0.3">
      <c r="A47" s="126">
        <v>43313</v>
      </c>
      <c r="B47" s="127">
        <f>LN(Price!B48/Price!B47)</f>
        <v>4.7387092772369611E-2</v>
      </c>
      <c r="C47" s="127">
        <f>LN(Price!C48/Price!C47)</f>
        <v>-7.7702348552393677E-2</v>
      </c>
      <c r="D47" s="127">
        <f>LN(Price!D48/Price!D47)</f>
        <v>-2.1225286615281818E-2</v>
      </c>
      <c r="E47" s="127">
        <f>LN(Price!E48/Price!E47)</f>
        <v>3.7061301524818124E-2</v>
      </c>
      <c r="F47" s="127">
        <f>LN(Price!F48/Price!F47)</f>
        <v>-2.9510162206344854E-2</v>
      </c>
      <c r="G47" s="127">
        <f>LN(Price!G48/Price!G47)</f>
        <v>-7.5437308247207444E-2</v>
      </c>
      <c r="H47" s="127">
        <f>LN(Price!H48/Price!H47)</f>
        <v>3.9615569831807709E-2</v>
      </c>
      <c r="I47" s="127">
        <f>LN(Price!I48/Price!I47)</f>
        <v>-6.0096443491157427E-2</v>
      </c>
      <c r="J47" s="127">
        <f>LN(Price!J48/Price!J47)</f>
        <v>-3.3201793520045417E-2</v>
      </c>
      <c r="K47" s="127">
        <f>LN(Price!K48/Price!K47)</f>
        <v>8.6695305194450564E-3</v>
      </c>
      <c r="L47" s="127">
        <f>LN(Price!L48/Price!L47)</f>
        <v>7.0038076703609717E-2</v>
      </c>
      <c r="M47" s="127">
        <f>LN(Price!M48/Price!M47)</f>
        <v>0.12763245256942649</v>
      </c>
      <c r="N47" s="127">
        <f>LN(Price!N48/Price!N47)</f>
        <v>-6.0149777750617625E-2</v>
      </c>
      <c r="O47" s="127">
        <f>LN(Price!O48/Price!O47)</f>
        <v>5.6300044688532579E-2</v>
      </c>
      <c r="P47" s="127">
        <f>LN(Price!P48/Price!P47)</f>
        <v>-6.7847082136999401E-2</v>
      </c>
      <c r="Q47" s="127">
        <f>LN(Price!Q48/Price!Q47)</f>
        <v>6.4976121585172769E-2</v>
      </c>
      <c r="R47" s="127">
        <f>LN(Price!R48/Price!R47)</f>
        <v>2.9156584291455703E-2</v>
      </c>
      <c r="S47" s="127">
        <f>LN(Price!S48/Price!S47)</f>
        <v>5.4394072065798764E-2</v>
      </c>
      <c r="T47" s="127">
        <f>LN(Price!T48/Price!T47)</f>
        <v>-2.6644159112896366E-2</v>
      </c>
      <c r="U47" s="127">
        <f>LN(Price!U48/Price!U47)</f>
        <v>4.2720743241638111E-2</v>
      </c>
      <c r="V47" s="127">
        <f>LN(Price!V48/Price!V47)</f>
        <v>4.4138619973575453E-2</v>
      </c>
      <c r="W47" s="127">
        <f>LN(Price!W48/Price!W47)</f>
        <v>4.3566608626434203E-2</v>
      </c>
      <c r="X47" s="127">
        <f>LN(Price!X48/Price!X47)</f>
        <v>-4.8893903990055207E-2</v>
      </c>
      <c r="Y47" s="127">
        <f>LN(Price!Y48/Price!Y47)</f>
        <v>-3.052445821064596E-2</v>
      </c>
      <c r="Z47" s="127">
        <f>LN(Price!Z48/Price!Z47)</f>
        <v>-0.22029229007636172</v>
      </c>
      <c r="AA47" s="127">
        <f>LN(Price!AA48/Price!AA47)</f>
        <v>-6.9298168390559148E-2</v>
      </c>
      <c r="AB47" s="127">
        <f>LN(Price!AB48/Price!AB47)</f>
        <v>9.5522066657538457E-2</v>
      </c>
      <c r="AC47" s="127">
        <f>LN(Price!AC48/Price!AC47)</f>
        <v>-1.4767080200744125E-2</v>
      </c>
      <c r="AD47" s="127">
        <f>LN(Price!AD48/Price!AD47)</f>
        <v>-0.13641522635782469</v>
      </c>
      <c r="AE47" s="127">
        <f>LN(Price!AE48/Price!AE47)</f>
        <v>-5.5197932235978098E-3</v>
      </c>
      <c r="AF47" s="127">
        <f>LN(Price!AF48/Price!AF47)</f>
        <v>-3.508088907979158E-2</v>
      </c>
      <c r="AG47" s="96"/>
    </row>
    <row r="48" spans="1:33" x14ac:dyDescent="0.3">
      <c r="A48" s="126">
        <v>43344</v>
      </c>
      <c r="B48" s="127">
        <f>LN(Price!B49/Price!B48)</f>
        <v>-5.0117097197914059E-2</v>
      </c>
      <c r="C48" s="127">
        <f>LN(Price!C49/Price!C48)</f>
        <v>7.36209789214195E-2</v>
      </c>
      <c r="D48" s="127">
        <f>LN(Price!D49/Price!D48)</f>
        <v>-3.0153038170687443E-2</v>
      </c>
      <c r="E48" s="127">
        <f>LN(Price!E49/Price!E48)</f>
        <v>2.2708732725424844E-2</v>
      </c>
      <c r="F48" s="127">
        <f>LN(Price!F49/Price!F48)</f>
        <v>4.4518052646760294E-2</v>
      </c>
      <c r="G48" s="127">
        <f>LN(Price!G49/Price!G48)</f>
        <v>-1.4769253594523989E-2</v>
      </c>
      <c r="H48" s="127">
        <f>LN(Price!H49/Price!H48)</f>
        <v>-2.2537979097824182E-2</v>
      </c>
      <c r="I48" s="127">
        <f>LN(Price!I49/Price!I48)</f>
        <v>-2.45355333660199E-2</v>
      </c>
      <c r="J48" s="127">
        <f>LN(Price!J49/Price!J48)</f>
        <v>-0.11340168067183003</v>
      </c>
      <c r="K48" s="127">
        <f>LN(Price!K49/Price!K48)</f>
        <v>-7.0784257032369652E-2</v>
      </c>
      <c r="L48" s="127">
        <f>LN(Price!L49/Price!L48)</f>
        <v>6.8870987155031343E-2</v>
      </c>
      <c r="M48" s="127">
        <f>LN(Price!M49/Price!M48)</f>
        <v>-1.8788716163735838E-2</v>
      </c>
      <c r="N48" s="127">
        <f>LN(Price!N49/Price!N48)</f>
        <v>6.1875403718087453E-2</v>
      </c>
      <c r="O48" s="127">
        <f>LN(Price!O49/Price!O48)</f>
        <v>0.12987508142141208</v>
      </c>
      <c r="P48" s="127">
        <f>LN(Price!P49/Price!P48)</f>
        <v>-8.7350900980261062E-2</v>
      </c>
      <c r="Q48" s="127">
        <f>LN(Price!Q49/Price!Q48)</f>
        <v>-4.8925950713194208E-2</v>
      </c>
      <c r="R48" s="127">
        <f>LN(Price!R49/Price!R48)</f>
        <v>-1.6492462075725196E-2</v>
      </c>
      <c r="S48" s="127">
        <f>LN(Price!S49/Price!S48)</f>
        <v>-3.0719139037530201E-2</v>
      </c>
      <c r="T48" s="127">
        <f>LN(Price!T49/Price!T48)</f>
        <v>-2.7844026171173344E-2</v>
      </c>
      <c r="U48" s="127">
        <f>LN(Price!U49/Price!U48)</f>
        <v>2.7155715667500597E-2</v>
      </c>
      <c r="V48" s="127">
        <f>LN(Price!V49/Price!V48)</f>
        <v>-5.2333411554963578E-2</v>
      </c>
      <c r="W48" s="127">
        <f>LN(Price!W49/Price!W48)</f>
        <v>1.5013930799588418E-2</v>
      </c>
      <c r="X48" s="127">
        <f>LN(Price!X49/Price!X48)</f>
        <v>-4.4550796985373835E-2</v>
      </c>
      <c r="Y48" s="127">
        <f>LN(Price!Y49/Price!Y48)</f>
        <v>-4.0199985305964005E-2</v>
      </c>
      <c r="Z48" s="127">
        <f>LN(Price!Z49/Price!Z48)</f>
        <v>-5.2609533466608766E-2</v>
      </c>
      <c r="AA48" s="127">
        <f>LN(Price!AA49/Price!AA48)</f>
        <v>-7.4460353669084822E-2</v>
      </c>
      <c r="AB48" s="127">
        <f>LN(Price!AB49/Price!AB48)</f>
        <v>-0.10488981666113863</v>
      </c>
      <c r="AC48" s="127">
        <f>LN(Price!AC49/Price!AC48)</f>
        <v>2.4474620686536878E-2</v>
      </c>
      <c r="AD48" s="127">
        <f>LN(Price!AD49/Price!AD48)</f>
        <v>8.7931763616958439E-2</v>
      </c>
      <c r="AE48" s="127">
        <f>LN(Price!AE49/Price!AE48)</f>
        <v>6.7422872633790213E-3</v>
      </c>
      <c r="AF48" s="127">
        <f>LN(Price!AF49/Price!AF48)</f>
        <v>-9.5349144758129778E-3</v>
      </c>
      <c r="AG48" s="96"/>
    </row>
    <row r="49" spans="1:33" x14ac:dyDescent="0.3">
      <c r="A49" s="126">
        <v>43374</v>
      </c>
      <c r="B49" s="127">
        <f>LN(Price!B50/Price!B49)</f>
        <v>-5.4492559268485272E-2</v>
      </c>
      <c r="C49" s="127">
        <f>LN(Price!C50/Price!C49)</f>
        <v>-1.891120415140202E-2</v>
      </c>
      <c r="D49" s="127">
        <f>LN(Price!D50/Price!D49)</f>
        <v>-0.12289813632315377</v>
      </c>
      <c r="E49" s="127">
        <f>LN(Price!E50/Price!E49)</f>
        <v>-0.1131475696339653</v>
      </c>
      <c r="F49" s="127">
        <f>LN(Price!F50/Price!F49)</f>
        <v>-4.0171164689276798E-2</v>
      </c>
      <c r="G49" s="127">
        <f>LN(Price!G50/Price!G49)</f>
        <v>-8.1333711901903374E-2</v>
      </c>
      <c r="H49" s="127">
        <f>LN(Price!H50/Price!H49)</f>
        <v>-9.4171134851622831E-2</v>
      </c>
      <c r="I49" s="127">
        <f>LN(Price!I50/Price!I49)</f>
        <v>-3.7301672525519296E-2</v>
      </c>
      <c r="J49" s="127">
        <f>LN(Price!J50/Price!J49)</f>
        <v>-9.9868329613242657E-2</v>
      </c>
      <c r="K49" s="127">
        <f>LN(Price!K50/Price!K49)</f>
        <v>-1.9228863220968256E-2</v>
      </c>
      <c r="L49" s="127">
        <f>LN(Price!L50/Price!L49)</f>
        <v>-7.2533994913768579E-2</v>
      </c>
      <c r="M49" s="127">
        <f>LN(Price!M50/Price!M49)</f>
        <v>-1.3846007783411015E-2</v>
      </c>
      <c r="N49" s="127">
        <f>LN(Price!N50/Price!N49)</f>
        <v>-3.0103778300231046E-2</v>
      </c>
      <c r="O49" s="127">
        <f>LN(Price!O50/Price!O49)</f>
        <v>-0.19782574332991978</v>
      </c>
      <c r="P49" s="127">
        <f>LN(Price!P50/Price!P49)</f>
        <v>1.777106541466621E-2</v>
      </c>
      <c r="Q49" s="127">
        <f>LN(Price!Q50/Price!Q49)</f>
        <v>-4.0247856453979346E-2</v>
      </c>
      <c r="R49" s="127">
        <f>LN(Price!R50/Price!R49)</f>
        <v>6.123250047086231E-2</v>
      </c>
      <c r="S49" s="127">
        <f>LN(Price!S50/Price!S49)</f>
        <v>-3.1245666137860648E-2</v>
      </c>
      <c r="T49" s="127">
        <f>LN(Price!T50/Price!T49)</f>
        <v>-0.2102853963708412</v>
      </c>
      <c r="U49" s="127">
        <f>LN(Price!U50/Price!U49)</f>
        <v>-3.2995923400801902E-2</v>
      </c>
      <c r="V49" s="127">
        <f>LN(Price!V50/Price!V49)</f>
        <v>-2.15272500991672E-2</v>
      </c>
      <c r="W49" s="127">
        <f>LN(Price!W50/Price!W49)</f>
        <v>-0.24517263364764688</v>
      </c>
      <c r="X49" s="127">
        <f>LN(Price!X50/Price!X49)</f>
        <v>-2.5376217493374417E-2</v>
      </c>
      <c r="Y49" s="127">
        <f>LN(Price!Y50/Price!Y49)</f>
        <v>-0.11799533774672327</v>
      </c>
      <c r="Z49" s="127">
        <f>LN(Price!Z50/Price!Z49)</f>
        <v>-2.7037807894894371E-2</v>
      </c>
      <c r="AA49" s="127">
        <f>LN(Price!AA50/Price!AA49)</f>
        <v>-0.29649270213393591</v>
      </c>
      <c r="AB49" s="127">
        <f>LN(Price!AB50/Price!AB49)</f>
        <v>6.6008029116931058E-2</v>
      </c>
      <c r="AC49" s="127">
        <f>LN(Price!AC50/Price!AC49)</f>
        <v>-1.1554750405423506E-2</v>
      </c>
      <c r="AD49" s="127">
        <f>LN(Price!AD50/Price!AD49)</f>
        <v>-0.15706814830737101</v>
      </c>
      <c r="AE49" s="127">
        <f>LN(Price!AE50/Price!AE49)</f>
        <v>-3.4807740161662971E-2</v>
      </c>
      <c r="AF49" s="127">
        <f>LN(Price!AF50/Price!AF49)</f>
        <v>-6.7486723478819677E-2</v>
      </c>
      <c r="AG49" s="96"/>
    </row>
    <row r="50" spans="1:33" x14ac:dyDescent="0.3">
      <c r="A50" s="126">
        <v>43405</v>
      </c>
      <c r="B50" s="127">
        <f>LN(Price!B51/Price!B50)</f>
        <v>5.1755081511896263E-2</v>
      </c>
      <c r="C50" s="127">
        <f>LN(Price!C51/Price!C50)</f>
        <v>9.4067063309414298E-4</v>
      </c>
      <c r="D50" s="127">
        <f>LN(Price!D51/Price!D50)</f>
        <v>0.29582193065833712</v>
      </c>
      <c r="E50" s="127">
        <f>LN(Price!E51/Price!E50)</f>
        <v>-4.0311525493759402E-2</v>
      </c>
      <c r="F50" s="127">
        <f>LN(Price!F51/Price!F50)</f>
        <v>1.1107031745365422E-2</v>
      </c>
      <c r="G50" s="127">
        <f>LN(Price!G51/Price!G50)</f>
        <v>6.6300987396410325E-3</v>
      </c>
      <c r="H50" s="127">
        <f>LN(Price!H51/Price!H50)</f>
        <v>6.0638673413559623E-3</v>
      </c>
      <c r="I50" s="127">
        <f>LN(Price!I51/Price!I50)</f>
        <v>-5.2138007939116118E-2</v>
      </c>
      <c r="J50" s="127">
        <f>LN(Price!J51/Price!J50)</f>
        <v>4.3641280289536899E-2</v>
      </c>
      <c r="K50" s="127">
        <f>LN(Price!K51/Price!K50)</f>
        <v>-5.4176545537092294E-2</v>
      </c>
      <c r="L50" s="127">
        <f>LN(Price!L51/Price!L50)</f>
        <v>-0.18103797726501245</v>
      </c>
      <c r="M50" s="127">
        <f>LN(Price!M51/Price!M50)</f>
        <v>-6.5564688492883244E-2</v>
      </c>
      <c r="N50" s="127">
        <f>LN(Price!N51/Price!N50)</f>
        <v>3.9014059062069581E-3</v>
      </c>
      <c r="O50" s="127">
        <f>LN(Price!O51/Price!O50)</f>
        <v>1.5504186535965254E-2</v>
      </c>
      <c r="P50" s="127">
        <f>LN(Price!P51/Price!P50)</f>
        <v>-9.2192546678395493E-2</v>
      </c>
      <c r="Q50" s="127">
        <f>LN(Price!Q51/Price!Q50)</f>
        <v>5.6512210263342404E-2</v>
      </c>
      <c r="R50" s="127">
        <f>LN(Price!R51/Price!R50)</f>
        <v>2.8546578476269759E-2</v>
      </c>
      <c r="S50" s="127">
        <f>LN(Price!S51/Price!S50)</f>
        <v>8.4576511278199405E-3</v>
      </c>
      <c r="T50" s="127">
        <f>LN(Price!T51/Price!T50)</f>
        <v>0.10204492061274306</v>
      </c>
      <c r="U50" s="127">
        <f>LN(Price!U51/Price!U50)</f>
        <v>-2.2618088587772513E-2</v>
      </c>
      <c r="V50" s="127">
        <f>LN(Price!V51/Price!V50)</f>
        <v>4.591287155444862E-2</v>
      </c>
      <c r="W50" s="127">
        <f>LN(Price!W51/Price!W50)</f>
        <v>3.6264597067953055E-2</v>
      </c>
      <c r="X50" s="127">
        <f>LN(Price!X51/Price!X50)</f>
        <v>5.1234881466595723E-2</v>
      </c>
      <c r="Y50" s="127">
        <f>LN(Price!Y51/Price!Y50)</f>
        <v>-5.5301098292444846E-2</v>
      </c>
      <c r="Z50" s="127">
        <f>LN(Price!Z51/Price!Z50)</f>
        <v>-9.8570026561714943E-2</v>
      </c>
      <c r="AA50" s="127">
        <f>LN(Price!AA51/Price!AA50)</f>
        <v>-9.2658830482704707E-2</v>
      </c>
      <c r="AB50" s="127">
        <f>LN(Price!AB51/Price!AB50)</f>
        <v>-2.4527427996212426E-2</v>
      </c>
      <c r="AC50" s="127">
        <f>LN(Price!AC51/Price!AC50)</f>
        <v>1.3276504932969242E-2</v>
      </c>
      <c r="AD50" s="127">
        <f>LN(Price!AD51/Price!AD50)</f>
        <v>-0.11872535247915748</v>
      </c>
      <c r="AE50" s="127">
        <f>LN(Price!AE51/Price!AE50)</f>
        <v>-3.1675667916475927E-3</v>
      </c>
      <c r="AF50" s="127">
        <f>LN(Price!AF51/Price!AF50)</f>
        <v>-1.6760761888998381E-2</v>
      </c>
      <c r="AG50" s="96"/>
    </row>
    <row r="51" spans="1:33" x14ac:dyDescent="0.3">
      <c r="A51" s="126">
        <v>43435</v>
      </c>
      <c r="B51" s="127">
        <f>LN(Price!B52/Price!B51)</f>
        <v>-6.1618811034236443E-2</v>
      </c>
      <c r="C51" s="127">
        <f>LN(Price!C52/Price!C51)</f>
        <v>-6.9376711814090178E-2</v>
      </c>
      <c r="D51" s="127">
        <f>LN(Price!D52/Price!D51)</f>
        <v>-4.5362568697164575E-2</v>
      </c>
      <c r="E51" s="127">
        <f>LN(Price!E52/Price!E51)</f>
        <v>-4.4876801893369463E-2</v>
      </c>
      <c r="F51" s="127">
        <f>LN(Price!F52/Price!F51)</f>
        <v>-6.2845584989791925E-2</v>
      </c>
      <c r="G51" s="127">
        <f>LN(Price!G52/Price!G51)</f>
        <v>-5.0318793741972172E-2</v>
      </c>
      <c r="H51" s="127">
        <f>LN(Price!H52/Price!H51)</f>
        <v>-0.16218428547223085</v>
      </c>
      <c r="I51" s="127">
        <f>LN(Price!I52/Price!I51)</f>
        <v>-7.9321974841452453E-2</v>
      </c>
      <c r="J51" s="127">
        <f>LN(Price!J52/Price!J51)</f>
        <v>-6.3026151831265489E-2</v>
      </c>
      <c r="K51" s="127">
        <f>LN(Price!K52/Price!K51)</f>
        <v>-2.1132967560563085E-2</v>
      </c>
      <c r="L51" s="127">
        <f>LN(Price!L52/Price!L51)</f>
        <v>-7.4742503362219825E-2</v>
      </c>
      <c r="M51" s="127">
        <f>LN(Price!M52/Price!M51)</f>
        <v>-6.5771313568203704E-2</v>
      </c>
      <c r="N51" s="127">
        <f>LN(Price!N52/Price!N51)</f>
        <v>-8.9944072173953463E-2</v>
      </c>
      <c r="O51" s="127">
        <f>LN(Price!O52/Price!O51)</f>
        <v>-7.1743904858841301E-2</v>
      </c>
      <c r="P51" s="127">
        <f>LN(Price!P52/Price!P51)</f>
        <v>-0.11822211359977131</v>
      </c>
      <c r="Q51" s="127">
        <f>LN(Price!Q52/Price!Q51)</f>
        <v>-7.7260361120778026E-2</v>
      </c>
      <c r="R51" s="127">
        <f>LN(Price!R52/Price!R51)</f>
        <v>-7.8828025266245438E-2</v>
      </c>
      <c r="S51" s="127">
        <f>LN(Price!S52/Price!S51)</f>
        <v>-7.2132292797316422E-2</v>
      </c>
      <c r="T51" s="127">
        <f>LN(Price!T52/Price!T51)</f>
        <v>-5.2576356654049569E-3</v>
      </c>
      <c r="U51" s="127">
        <f>LN(Price!U52/Price!U51)</f>
        <v>-0.14763599880606457</v>
      </c>
      <c r="V51" s="127">
        <f>LN(Price!V52/Price!V51)</f>
        <v>-5.6852811592782881E-2</v>
      </c>
      <c r="W51" s="127">
        <f>LN(Price!W52/Price!W51)</f>
        <v>-0.23828261252989388</v>
      </c>
      <c r="X51" s="127">
        <f>LN(Price!X52/Price!X51)</f>
        <v>-4.3090566524909897E-2</v>
      </c>
      <c r="Y51" s="127">
        <f>LN(Price!Y52/Price!Y51)</f>
        <v>-6.3658581123755331E-2</v>
      </c>
      <c r="Z51" s="127">
        <f>LN(Price!Z52/Price!Z51)</f>
        <v>-9.0971778205726758E-2</v>
      </c>
      <c r="AA51" s="127">
        <f>LN(Price!AA52/Price!AA51)</f>
        <v>-0.26845071052389335</v>
      </c>
      <c r="AB51" s="127">
        <f>LN(Price!AB52/Price!AB51)</f>
        <v>-3.6785756816510987E-2</v>
      </c>
      <c r="AC51" s="127">
        <f>LN(Price!AC52/Price!AC51)</f>
        <v>-1.1376567692665134E-2</v>
      </c>
      <c r="AD51" s="127">
        <f>LN(Price!AD52/Price!AD51)</f>
        <v>-9.6644402817461422E-2</v>
      </c>
      <c r="AE51" s="127">
        <f>LN(Price!AE52/Price!AE51)</f>
        <v>-5.6113871478319519E-2</v>
      </c>
      <c r="AF51" s="127">
        <f>LN(Price!AF52/Price!AF51)</f>
        <v>-6.4036688633231725E-2</v>
      </c>
      <c r="AG51" s="96"/>
    </row>
    <row r="52" spans="1:33" x14ac:dyDescent="0.3">
      <c r="A52" s="126">
        <v>43466</v>
      </c>
      <c r="B52" s="127">
        <f>LN(Price!B53/Price!B52)</f>
        <v>-6.8784646603325672E-2</v>
      </c>
      <c r="C52" s="127">
        <f>LN(Price!C53/Price!C52)</f>
        <v>6.7494484853450137E-2</v>
      </c>
      <c r="D52" s="127">
        <f>LN(Price!D53/Price!D52)</f>
        <v>4.5362568697164693E-2</v>
      </c>
      <c r="E52" s="127">
        <f>LN(Price!E53/Price!E52)</f>
        <v>3.7480400122017248E-2</v>
      </c>
      <c r="F52" s="127">
        <f>LN(Price!F53/Price!F52)</f>
        <v>5.4337645025946367E-2</v>
      </c>
      <c r="G52" s="127">
        <f>LN(Price!G53/Price!G52)</f>
        <v>-1.654069413275645E-2</v>
      </c>
      <c r="H52" s="127">
        <f>LN(Price!H53/Price!H52)</f>
        <v>7.452611976591958E-2</v>
      </c>
      <c r="I52" s="127">
        <f>LN(Price!I53/Price!I52)</f>
        <v>0.11800082940656384</v>
      </c>
      <c r="J52" s="127">
        <f>LN(Price!J53/Price!J52)</f>
        <v>0.11155888261016522</v>
      </c>
      <c r="K52" s="127">
        <f>LN(Price!K53/Price!K52)</f>
        <v>3.829546748899415E-2</v>
      </c>
      <c r="L52" s="127">
        <f>LN(Price!L53/Price!L52)</f>
        <v>0.15550386000667824</v>
      </c>
      <c r="M52" s="127">
        <f>LN(Price!M53/Price!M52)</f>
        <v>0.12989265324183555</v>
      </c>
      <c r="N52" s="127">
        <f>LN(Price!N53/Price!N52)</f>
        <v>9.5239759748663791E-2</v>
      </c>
      <c r="O52" s="127">
        <f>LN(Price!O53/Price!O52)</f>
        <v>7.9406777604410408E-2</v>
      </c>
      <c r="P52" s="127">
        <f>LN(Price!P53/Price!P52)</f>
        <v>0.28520866035726217</v>
      </c>
      <c r="Q52" s="127">
        <f>LN(Price!Q53/Price!Q52)</f>
        <v>0.10128554070776782</v>
      </c>
      <c r="R52" s="127">
        <f>LN(Price!R53/Price!R52)</f>
        <v>1.7625483815923028E-2</v>
      </c>
      <c r="S52" s="127">
        <f>LN(Price!S53/Price!S52)</f>
        <v>0.10225899820082372</v>
      </c>
      <c r="T52" s="127">
        <f>LN(Price!T53/Price!T52)</f>
        <v>0.13168467003135806</v>
      </c>
      <c r="U52" s="127">
        <f>LN(Price!U53/Price!U52)</f>
        <v>0.17238174777095361</v>
      </c>
      <c r="V52" s="127">
        <f>LN(Price!V53/Price!V52)</f>
        <v>8.5948312136364918E-2</v>
      </c>
      <c r="W52" s="127">
        <f>LN(Price!W53/Price!W52)</f>
        <v>0.12777687273871804</v>
      </c>
      <c r="X52" s="127">
        <f>LN(Price!X53/Price!X52)</f>
        <v>0.11481739619314893</v>
      </c>
      <c r="Y52" s="127">
        <f>LN(Price!Y53/Price!Y52)</f>
        <v>5.5077515909328259E-2</v>
      </c>
      <c r="Z52" s="127">
        <f>LN(Price!Z53/Price!Z52)</f>
        <v>0.13099193905593434</v>
      </c>
      <c r="AA52" s="127">
        <f>LN(Price!AA53/Price!AA52)</f>
        <v>0.26358452087272027</v>
      </c>
      <c r="AB52" s="127">
        <f>LN(Price!AB53/Price!AB52)</f>
        <v>0.13045288839743505</v>
      </c>
      <c r="AC52" s="127">
        <f>LN(Price!AC53/Price!AC52)</f>
        <v>2.3758541710626566E-2</v>
      </c>
      <c r="AD52" s="127">
        <f>LN(Price!AD53/Price!AD52)</f>
        <v>3.2186686495901284E-2</v>
      </c>
      <c r="AE52" s="127">
        <f>LN(Price!AE53/Price!AE52)</f>
        <v>8.4267122796171351E-2</v>
      </c>
      <c r="AF52" s="127">
        <f>LN(Price!AF53/Price!AF52)</f>
        <v>5.6534315093146562E-2</v>
      </c>
      <c r="AG52" s="96"/>
    </row>
    <row r="53" spans="1:33" x14ac:dyDescent="0.3">
      <c r="A53" s="126">
        <v>43497</v>
      </c>
      <c r="B53" s="127">
        <f>LN(Price!B54/Price!B53)</f>
        <v>3.1358241084208684E-2</v>
      </c>
      <c r="C53" s="127">
        <f>LN(Price!C54/Price!C53)</f>
        <v>1.5224653044479937E-2</v>
      </c>
      <c r="D53" s="127">
        <f>LN(Price!D54/Price!D53)</f>
        <v>-3.3457666190846239E-2</v>
      </c>
      <c r="E53" s="127">
        <f>LN(Price!E54/Price!E53)</f>
        <v>4.283658436932701E-2</v>
      </c>
      <c r="F53" s="127">
        <f>LN(Price!F54/Price!F53)</f>
        <v>5.6148458480692207E-2</v>
      </c>
      <c r="G53" s="127">
        <f>LN(Price!G54/Price!G53)</f>
        <v>3.6994261844318006E-3</v>
      </c>
      <c r="H53" s="127">
        <f>LN(Price!H54/Price!H53)</f>
        <v>5.8796133466436376E-2</v>
      </c>
      <c r="I53" s="127">
        <f>LN(Price!I54/Price!I53)</f>
        <v>1.9172366400468828E-2</v>
      </c>
      <c r="J53" s="127">
        <f>LN(Price!J54/Price!J53)</f>
        <v>-5.680366422755977E-3</v>
      </c>
      <c r="K53" s="127">
        <f>LN(Price!K54/Price!K53)</f>
        <v>1.1504491777856792E-2</v>
      </c>
      <c r="L53" s="127">
        <f>LN(Price!L54/Price!L53)</f>
        <v>4.9466068216792912E-2</v>
      </c>
      <c r="M53" s="127">
        <f>LN(Price!M54/Price!M53)</f>
        <v>2.8010376203973258E-2</v>
      </c>
      <c r="N53" s="127">
        <f>LN(Price!N54/Price!N53)</f>
        <v>3.1539609555640613E-2</v>
      </c>
      <c r="O53" s="127">
        <f>LN(Price!O54/Price!O53)</f>
        <v>0.1999764920326754</v>
      </c>
      <c r="P53" s="127">
        <f>LN(Price!P54/Price!P53)</f>
        <v>3.7189849052288573E-2</v>
      </c>
      <c r="Q53" s="127">
        <f>LN(Price!Q54/Price!Q53)</f>
        <v>-2.7069321968218027E-2</v>
      </c>
      <c r="R53" s="127">
        <f>LN(Price!R54/Price!R53)</f>
        <v>-8.773910200629809E-3</v>
      </c>
      <c r="S53" s="127">
        <f>LN(Price!S54/Price!S53)</f>
        <v>-4.5312347821881392E-2</v>
      </c>
      <c r="T53" s="127">
        <f>LN(Price!T54/Price!T53)</f>
        <v>-8.3527167757283544E-3</v>
      </c>
      <c r="U53" s="127">
        <f>LN(Price!U54/Price!U53)</f>
        <v>1.5927797367863341E-3</v>
      </c>
      <c r="V53" s="127">
        <f>LN(Price!V54/Price!V53)</f>
        <v>-6.1255699545993539E-2</v>
      </c>
      <c r="W53" s="127">
        <f>LN(Price!W54/Price!W53)</f>
        <v>6.7873537995292776E-2</v>
      </c>
      <c r="X53" s="127">
        <f>LN(Price!X54/Price!X53)</f>
        <v>1.032524614189184E-3</v>
      </c>
      <c r="Y53" s="127">
        <f>LN(Price!Y54/Price!Y53)</f>
        <v>4.8476733670078681E-2</v>
      </c>
      <c r="Z53" s="127">
        <f>LN(Price!Z54/Price!Z53)</f>
        <v>4.5099067987384236E-2</v>
      </c>
      <c r="AA53" s="127">
        <f>LN(Price!AA54/Price!AA53)</f>
        <v>0.18840060287033697</v>
      </c>
      <c r="AB53" s="127">
        <f>LN(Price!AB54/Price!AB53)</f>
        <v>1.8330452143982847E-2</v>
      </c>
      <c r="AC53" s="127">
        <f>LN(Price!AC54/Price!AC53)</f>
        <v>5.5285931051360253E-2</v>
      </c>
      <c r="AD53" s="127">
        <f>LN(Price!AD54/Price!AD53)</f>
        <v>-0.16248090596120121</v>
      </c>
      <c r="AE53" s="127">
        <f>LN(Price!AE54/Price!AE53)</f>
        <v>4.6407845135616521E-2</v>
      </c>
      <c r="AF53" s="127">
        <f>LN(Price!AF54/Price!AF53)</f>
        <v>3.0197007734009341E-2</v>
      </c>
      <c r="AG53" s="96"/>
    </row>
    <row r="54" spans="1:33" x14ac:dyDescent="0.3">
      <c r="A54" s="126">
        <v>43525</v>
      </c>
      <c r="B54" s="127">
        <f>LN(Price!B55/Price!B54)</f>
        <v>2.5696065733627253E-2</v>
      </c>
      <c r="C54" s="127">
        <f>LN(Price!C55/Price!C54)</f>
        <v>-7.2691837149930383E-2</v>
      </c>
      <c r="D54" s="127">
        <f>LN(Price!D55/Price!D54)</f>
        <v>2.4836923146939104E-2</v>
      </c>
      <c r="E54" s="127">
        <f>LN(Price!E55/Price!E54)</f>
        <v>8.9308806647318384E-2</v>
      </c>
      <c r="F54" s="127">
        <f>LN(Price!F55/Price!F54)</f>
        <v>1.3608415551656176E-2</v>
      </c>
      <c r="G54" s="127">
        <f>LN(Price!G55/Price!G54)</f>
        <v>-1.9636159933428404E-3</v>
      </c>
      <c r="H54" s="127">
        <f>LN(Price!H55/Price!H54)</f>
        <v>5.9676795283884768E-2</v>
      </c>
      <c r="I54" s="127">
        <f>LN(Price!I55/Price!I54)</f>
        <v>-7.8162632232429315E-3</v>
      </c>
      <c r="J54" s="127">
        <f>LN(Price!J55/Price!J54)</f>
        <v>-8.7623588268728986E-2</v>
      </c>
      <c r="K54" s="127">
        <f>LN(Price!K55/Price!K54)</f>
        <v>-7.7768795622697298E-2</v>
      </c>
      <c r="L54" s="127">
        <f>LN(Price!L55/Price!L54)</f>
        <v>7.4383720121827937E-2</v>
      </c>
      <c r="M54" s="127">
        <f>LN(Price!M55/Price!M54)</f>
        <v>1.3947227480850552E-2</v>
      </c>
      <c r="N54" s="127">
        <f>LN(Price!N55/Price!N54)</f>
        <v>-4.6796247508932722E-2</v>
      </c>
      <c r="O54" s="127">
        <f>LN(Price!O55/Price!O54)</f>
        <v>1.242251999855711E-2</v>
      </c>
      <c r="P54" s="127">
        <f>LN(Price!P55/Price!P54)</f>
        <v>3.1010236742560218E-2</v>
      </c>
      <c r="Q54" s="127">
        <f>LN(Price!Q55/Price!Q54)</f>
        <v>8.061982498864545E-2</v>
      </c>
      <c r="R54" s="127">
        <f>LN(Price!R55/Price!R54)</f>
        <v>0.11309654304603604</v>
      </c>
      <c r="S54" s="127">
        <f>LN(Price!S55/Price!S54)</f>
        <v>2.8395874155180766E-2</v>
      </c>
      <c r="T54" s="127">
        <f>LN(Price!T55/Price!T54)</f>
        <v>0.10768772173491256</v>
      </c>
      <c r="U54" s="127">
        <f>LN(Price!U55/Price!U54)</f>
        <v>6.8179101031443173E-2</v>
      </c>
      <c r="V54" s="127">
        <f>LN(Price!V55/Price!V54)</f>
        <v>5.296263197523244E-2</v>
      </c>
      <c r="W54" s="127">
        <f>LN(Price!W55/Price!W54)</f>
        <v>4.2910404607525883E-2</v>
      </c>
      <c r="X54" s="127">
        <f>LN(Price!X55/Price!X54)</f>
        <v>2.2449922439221726E-2</v>
      </c>
      <c r="Y54" s="127">
        <f>LN(Price!Y55/Price!Y54)</f>
        <v>-2.2035301468770609E-2</v>
      </c>
      <c r="Z54" s="127">
        <f>LN(Price!Z55/Price!Z54)</f>
        <v>-7.0482075038419301E-2</v>
      </c>
      <c r="AA54" s="127">
        <f>LN(Price!AA55/Price!AA54)</f>
        <v>-4.3350440873613741E-2</v>
      </c>
      <c r="AB54" s="127">
        <f>LN(Price!AB55/Price!AB54)</f>
        <v>4.2475520738386584E-2</v>
      </c>
      <c r="AC54" s="127">
        <f>LN(Price!AC55/Price!AC54)</f>
        <v>2.6490023331387624E-2</v>
      </c>
      <c r="AD54" s="127">
        <f>LN(Price!AD55/Price!AD54)</f>
        <v>-7.0895821633037592E-2</v>
      </c>
      <c r="AE54" s="127">
        <f>LN(Price!AE55/Price!AE54)</f>
        <v>1.1709735672907919E-2</v>
      </c>
      <c r="AF54" s="127">
        <f>LN(Price!AF55/Price!AF54)</f>
        <v>9.0271201633211368E-4</v>
      </c>
      <c r="AG54" s="96"/>
    </row>
    <row r="55" spans="1:33" x14ac:dyDescent="0.3">
      <c r="A55" s="126">
        <v>43556</v>
      </c>
      <c r="B55" s="127">
        <f>LN(Price!B56/Price!B55)</f>
        <v>2.3571018573813338E-3</v>
      </c>
      <c r="C55" s="127">
        <f>LN(Price!C56/Price!C55)</f>
        <v>9.9757619518583251E-2</v>
      </c>
      <c r="D55" s="127">
        <f>LN(Price!D56/Price!D55)</f>
        <v>0.11183303016344381</v>
      </c>
      <c r="E55" s="127">
        <f>LN(Price!E56/Price!E55)</f>
        <v>0.10654428075079596</v>
      </c>
      <c r="F55" s="127">
        <f>LN(Price!F56/Price!F55)</f>
        <v>8.0027189482336558E-2</v>
      </c>
      <c r="G55" s="127">
        <f>LN(Price!G56/Price!G55)</f>
        <v>0.1066084359528871</v>
      </c>
      <c r="H55" s="127">
        <f>LN(Price!H56/Price!H55)</f>
        <v>6.3460353917225765E-2</v>
      </c>
      <c r="I55" s="127">
        <f>LN(Price!I56/Price!I55)</f>
        <v>0.11024807359465497</v>
      </c>
      <c r="J55" s="127">
        <f>LN(Price!J56/Price!J55)</f>
        <v>0.17295048154291442</v>
      </c>
      <c r="K55" s="127">
        <f>LN(Price!K56/Price!K55)</f>
        <v>9.8939947854903648E-2</v>
      </c>
      <c r="L55" s="127">
        <f>LN(Price!L56/Price!L55)</f>
        <v>7.8387078156275325E-2</v>
      </c>
      <c r="M55" s="127">
        <f>LN(Price!M56/Price!M55)</f>
        <v>5.6106254892559604E-2</v>
      </c>
      <c r="N55" s="127">
        <f>LN(Price!N56/Price!N55)</f>
        <v>0.10027071650535298</v>
      </c>
      <c r="O55" s="127">
        <f>LN(Price!O56/Price!O55)</f>
        <v>9.6992265987309895E-2</v>
      </c>
      <c r="P55" s="127">
        <f>LN(Price!P56/Price!P55)</f>
        <v>0.22854186188389125</v>
      </c>
      <c r="Q55" s="127">
        <f>LN(Price!Q56/Price!Q55)</f>
        <v>-3.8597800323629611E-2</v>
      </c>
      <c r="R55" s="127">
        <f>LN(Price!R56/Price!R55)</f>
        <v>-6.8922604824940475E-2</v>
      </c>
      <c r="S55" s="127">
        <f>LN(Price!S56/Price!S55)</f>
        <v>3.9456232895971347E-2</v>
      </c>
      <c r="T55" s="127">
        <f>LN(Price!T56/Price!T55)</f>
        <v>-4.8434578861816645E-2</v>
      </c>
      <c r="U55" s="127">
        <f>LN(Price!U56/Price!U55)</f>
        <v>3.8400829988365671E-2</v>
      </c>
      <c r="V55" s="127">
        <f>LN(Price!V56/Price!V55)</f>
        <v>-7.5906774031487143E-2</v>
      </c>
      <c r="W55" s="127">
        <f>LN(Price!W56/Price!W55)</f>
        <v>4.1678373203165524E-2</v>
      </c>
      <c r="X55" s="127">
        <f>LN(Price!X56/Price!X55)</f>
        <v>-3.4911142877033681E-2</v>
      </c>
      <c r="Y55" s="127">
        <f>LN(Price!Y56/Price!Y55)</f>
        <v>0.10094056826138088</v>
      </c>
      <c r="Z55" s="127">
        <f>LN(Price!Z56/Price!Z55)</f>
        <v>9.3547347969415384E-2</v>
      </c>
      <c r="AA55" s="127">
        <f>LN(Price!AA56/Price!AA55)</f>
        <v>0.23238343225555536</v>
      </c>
      <c r="AB55" s="127">
        <f>LN(Price!AB56/Price!AB55)</f>
        <v>6.4598964185127922E-2</v>
      </c>
      <c r="AC55" s="127">
        <f>LN(Price!AC56/Price!AC55)</f>
        <v>4.9655097936234613E-2</v>
      </c>
      <c r="AD55" s="127">
        <f>LN(Price!AD56/Price!AD55)</f>
        <v>2.339759821403849E-2</v>
      </c>
      <c r="AE55" s="127">
        <f>LN(Price!AE56/Price!AE55)</f>
        <v>3.6014180745460984E-2</v>
      </c>
      <c r="AF55" s="127">
        <f>LN(Price!AF56/Price!AF55)</f>
        <v>6.8567772498091498E-2</v>
      </c>
      <c r="AG55" s="96"/>
    </row>
    <row r="56" spans="1:33" x14ac:dyDescent="0.3">
      <c r="A56" s="126">
        <v>43586</v>
      </c>
      <c r="B56" s="127">
        <f>LN(Price!B57/Price!B56)</f>
        <v>-9.0495420928768111E-2</v>
      </c>
      <c r="C56" s="127">
        <f>LN(Price!C57/Price!C56)</f>
        <v>-0.10561854688103571</v>
      </c>
      <c r="D56" s="127">
        <f>LN(Price!D57/Price!D56)</f>
        <v>-4.216698463558792E-2</v>
      </c>
      <c r="E56" s="127">
        <f>LN(Price!E57/Price!E56)</f>
        <v>-3.6981992124533139E-2</v>
      </c>
      <c r="F56" s="127">
        <f>LN(Price!F57/Price!F56)</f>
        <v>-7.710630308278206E-2</v>
      </c>
      <c r="G56" s="127">
        <f>LN(Price!G57/Price!G56)</f>
        <v>-5.0954216784752447E-2</v>
      </c>
      <c r="H56" s="127">
        <f>LN(Price!H57/Price!H56)</f>
        <v>-0.15815003661453128</v>
      </c>
      <c r="I56" s="127">
        <f>LN(Price!I57/Price!I56)</f>
        <v>-0.22812680760988477</v>
      </c>
      <c r="J56" s="127">
        <f>LN(Price!J57/Price!J56)</f>
        <v>-0.26837372596378817</v>
      </c>
      <c r="K56" s="127">
        <f>LN(Price!K57/Price!K56)</f>
        <v>-0.20195977072928134</v>
      </c>
      <c r="L56" s="127">
        <f>LN(Price!L57/Price!L56)</f>
        <v>1.4802901881295941E-2</v>
      </c>
      <c r="M56" s="127">
        <f>LN(Price!M57/Price!M56)</f>
        <v>0.11179980000318399</v>
      </c>
      <c r="N56" s="127">
        <f>LN(Price!N57/Price!N56)</f>
        <v>-0.10313502207982372</v>
      </c>
      <c r="O56" s="127">
        <f>LN(Price!O57/Price!O56)</f>
        <v>5.1853361610255472E-2</v>
      </c>
      <c r="P56" s="127">
        <f>LN(Price!P57/Price!P56)</f>
        <v>-0.20793673728197587</v>
      </c>
      <c r="Q56" s="127">
        <f>LN(Price!Q57/Price!Q56)</f>
        <v>5.4481370997236031E-2</v>
      </c>
      <c r="R56" s="127">
        <f>LN(Price!R57/Price!R56)</f>
        <v>-9.2931056009929569E-2</v>
      </c>
      <c r="S56" s="127">
        <f>LN(Price!S57/Price!S56)</f>
        <v>3.9980597752063494E-2</v>
      </c>
      <c r="T56" s="127">
        <f>LN(Price!T57/Price!T56)</f>
        <v>-1.8170231788749859E-2</v>
      </c>
      <c r="U56" s="127">
        <f>LN(Price!U57/Price!U56)</f>
        <v>-7.9883763065397642E-2</v>
      </c>
      <c r="V56" s="127">
        <f>LN(Price!V57/Price!V56)</f>
        <v>5.297642915512972E-2</v>
      </c>
      <c r="W56" s="127">
        <f>LN(Price!W57/Price!W56)</f>
        <v>-0.13826892727431508</v>
      </c>
      <c r="X56" s="127">
        <f>LN(Price!X57/Price!X56)</f>
        <v>-2.3256862164267349E-2</v>
      </c>
      <c r="Y56" s="127">
        <f>LN(Price!Y57/Price!Y56)</f>
        <v>-0.20489474499700963</v>
      </c>
      <c r="Z56" s="127">
        <f>LN(Price!Z57/Price!Z56)</f>
        <v>-0.19049821723120017</v>
      </c>
      <c r="AA56" s="127">
        <f>LN(Price!AA57/Price!AA56)</f>
        <v>-0.16705408466316635</v>
      </c>
      <c r="AB56" s="127">
        <f>LN(Price!AB57/Price!AB56)</f>
        <v>-5.7851950638533593E-2</v>
      </c>
      <c r="AC56" s="127">
        <f>LN(Price!AC57/Price!AC56)</f>
        <v>-2.5792540087990066E-2</v>
      </c>
      <c r="AD56" s="127">
        <f>LN(Price!AD57/Price!AD56)</f>
        <v>-0.10058723690516856</v>
      </c>
      <c r="AE56" s="127">
        <f>LN(Price!AE57/Price!AE56)</f>
        <v>-1.6858672158115734E-3</v>
      </c>
      <c r="AF56" s="127">
        <f>LN(Price!AF57/Price!AF56)</f>
        <v>-5.1296364263556542E-2</v>
      </c>
      <c r="AG56" s="96"/>
    </row>
    <row r="57" spans="1:33" x14ac:dyDescent="0.3">
      <c r="A57" s="126">
        <v>43617</v>
      </c>
      <c r="B57" s="127">
        <f>LN(Price!B58/Price!B57)</f>
        <v>3.9790534913592933E-2</v>
      </c>
      <c r="C57" s="127">
        <f>LN(Price!C58/Price!C57)</f>
        <v>6.0633055261792551E-2</v>
      </c>
      <c r="D57" s="127">
        <f>LN(Price!D58/Price!D57)</f>
        <v>4.7315001152989242E-2</v>
      </c>
      <c r="E57" s="127">
        <f>LN(Price!E58/Price!E57)</f>
        <v>8.9513827982739491E-2</v>
      </c>
      <c r="F57" s="127">
        <f>LN(Price!F58/Price!F57)</f>
        <v>6.3985215120084912E-2</v>
      </c>
      <c r="G57" s="127">
        <f>LN(Price!G58/Price!G57)</f>
        <v>3.0692119991030723E-2</v>
      </c>
      <c r="H57" s="127">
        <f>LN(Price!H58/Price!H57)</f>
        <v>9.1235447829217942E-2</v>
      </c>
      <c r="I57" s="127">
        <f>LN(Price!I58/Price!I57)</f>
        <v>5.2229548471341466E-2</v>
      </c>
      <c r="J57" s="127">
        <f>LN(Price!J58/Price!J57)</f>
        <v>-3.3515625125576973E-2</v>
      </c>
      <c r="K57" s="127">
        <f>LN(Price!K58/Price!K57)</f>
        <v>4.8314013911992984E-2</v>
      </c>
      <c r="L57" s="127">
        <f>LN(Price!L58/Price!L57)</f>
        <v>0.11405728278914379</v>
      </c>
      <c r="M57" s="127">
        <f>LN(Price!M58/Price!M57)</f>
        <v>5.8003749911356213E-2</v>
      </c>
      <c r="N57" s="127">
        <f>LN(Price!N58/Price!N57)</f>
        <v>2.4089014603284099E-2</v>
      </c>
      <c r="O57" s="127">
        <f>LN(Price!O58/Price!O57)</f>
        <v>1.0582109330537008E-2</v>
      </c>
      <c r="P57" s="127">
        <f>LN(Price!P58/Price!P57)</f>
        <v>0.27519794280555837</v>
      </c>
      <c r="Q57" s="127">
        <f>LN(Price!Q58/Price!Q57)</f>
        <v>-0.11162655723647268</v>
      </c>
      <c r="R57" s="127">
        <f>LN(Price!R58/Price!R57)</f>
        <v>6.167182065549514E-2</v>
      </c>
      <c r="S57" s="127">
        <f>LN(Price!S58/Price!S57)</f>
        <v>5.2387788562794201E-3</v>
      </c>
      <c r="T57" s="127">
        <f>LN(Price!T58/Price!T57)</f>
        <v>-3.134483273863068E-2</v>
      </c>
      <c r="U57" s="127">
        <f>LN(Price!U58/Price!U57)</f>
        <v>7.8929564519715847E-2</v>
      </c>
      <c r="V57" s="127">
        <f>LN(Price!V58/Price!V57)</f>
        <v>-0.26946634773931227</v>
      </c>
      <c r="W57" s="127">
        <f>LN(Price!W58/Price!W57)</f>
        <v>5.6000336119320954E-2</v>
      </c>
      <c r="X57" s="127">
        <f>LN(Price!X58/Price!X57)</f>
        <v>2.1164811192043331E-2</v>
      </c>
      <c r="Y57" s="127">
        <f>LN(Price!Y58/Price!Y57)</f>
        <v>7.9078425142242531E-2</v>
      </c>
      <c r="Z57" s="127">
        <f>LN(Price!Z58/Price!Z57)</f>
        <v>5.136718328331466E-2</v>
      </c>
      <c r="AA57" s="127">
        <f>LN(Price!AA58/Price!AA57)</f>
        <v>6.3178901621531669E-2</v>
      </c>
      <c r="AB57" s="127">
        <f>LN(Price!AB58/Price!AB57)</f>
        <v>0.11938278003850658</v>
      </c>
      <c r="AC57" s="127">
        <f>LN(Price!AC58/Price!AC57)</f>
        <v>2.4934384167120367E-2</v>
      </c>
      <c r="AD57" s="127">
        <f>LN(Price!AD58/Price!AD57)</f>
        <v>0.12344988032793912</v>
      </c>
      <c r="AE57" s="127">
        <f>LN(Price!AE58/Price!AE57)</f>
        <v>6.8992871486951421E-2</v>
      </c>
      <c r="AF57" s="127">
        <f>LN(Price!AF58/Price!AF57)</f>
        <v>5.5719462076816127E-2</v>
      </c>
      <c r="AG57" s="96"/>
    </row>
    <row r="58" spans="1:33" x14ac:dyDescent="0.3">
      <c r="A58" s="126">
        <v>43647</v>
      </c>
      <c r="B58" s="127">
        <f>LN(Price!B59/Price!B58)</f>
        <v>5.1881356739104753E-2</v>
      </c>
      <c r="C58" s="127">
        <f>LN(Price!C59/Price!C58)</f>
        <v>1.8184750333509504E-2</v>
      </c>
      <c r="D58" s="127">
        <f>LN(Price!D59/Price!D58)</f>
        <v>-8.014968814970154E-2</v>
      </c>
      <c r="E58" s="127">
        <f>LN(Price!E59/Price!E58)</f>
        <v>-7.7809363761662087E-2</v>
      </c>
      <c r="F58" s="127">
        <f>LN(Price!F59/Price!F58)</f>
        <v>-7.5757938084576558E-3</v>
      </c>
      <c r="G58" s="127">
        <f>LN(Price!G59/Price!G58)</f>
        <v>-5.50457699132543E-2</v>
      </c>
      <c r="H58" s="127">
        <f>LN(Price!H59/Price!H58)</f>
        <v>2.0887593836461774E-2</v>
      </c>
      <c r="I58" s="127">
        <f>LN(Price!I59/Price!I58)</f>
        <v>-4.2373029848798538E-2</v>
      </c>
      <c r="J58" s="127">
        <f>LN(Price!J59/Price!J58)</f>
        <v>9.0328484519984806E-2</v>
      </c>
      <c r="K58" s="127">
        <f>LN(Price!K59/Price!K58)</f>
        <v>2.638115393868283E-2</v>
      </c>
      <c r="L58" s="127">
        <f>LN(Price!L59/Price!L58)</f>
        <v>4.0676317485981855E-2</v>
      </c>
      <c r="M58" s="127">
        <f>LN(Price!M59/Price!M58)</f>
        <v>6.4365854297808694E-2</v>
      </c>
      <c r="N58" s="127">
        <f>LN(Price!N59/Price!N58)</f>
        <v>4.3492559092878413E-2</v>
      </c>
      <c r="O58" s="127">
        <f>LN(Price!O59/Price!O58)</f>
        <v>-5.2770571008438931E-3</v>
      </c>
      <c r="P58" s="127">
        <f>LN(Price!P59/Price!P58)</f>
        <v>-2.1393980592028714E-2</v>
      </c>
      <c r="Q58" s="127">
        <f>LN(Price!Q59/Price!Q58)</f>
        <v>5.2411716339535237E-2</v>
      </c>
      <c r="R58" s="127">
        <f>LN(Price!R59/Price!R58)</f>
        <v>5.2060855111992661E-3</v>
      </c>
      <c r="S58" s="127">
        <f>LN(Price!S59/Price!S58)</f>
        <v>1.5157849051366259E-2</v>
      </c>
      <c r="T58" s="127">
        <f>LN(Price!T59/Price!T58)</f>
        <v>0.12111031471075853</v>
      </c>
      <c r="U58" s="127">
        <f>LN(Price!U59/Price!U58)</f>
        <v>7.8021205560896201E-2</v>
      </c>
      <c r="V58" s="127">
        <f>LN(Price!V59/Price!V58)</f>
        <v>2.901409812127816E-2</v>
      </c>
      <c r="W58" s="127">
        <f>LN(Price!W59/Price!W58)</f>
        <v>-9.3139883068777837E-2</v>
      </c>
      <c r="X58" s="127">
        <f>LN(Price!X59/Price!X58)</f>
        <v>-5.3776396780804064E-2</v>
      </c>
      <c r="Y58" s="127">
        <f>LN(Price!Y59/Price!Y58)</f>
        <v>-5.4493191554423406E-2</v>
      </c>
      <c r="Z58" s="127">
        <f>LN(Price!Z59/Price!Z58)</f>
        <v>-2.3515642100906349E-2</v>
      </c>
      <c r="AA58" s="127">
        <f>LN(Price!AA59/Price!AA58)</f>
        <v>6.812669559910231E-2</v>
      </c>
      <c r="AB58" s="127">
        <f>LN(Price!AB59/Price!AB58)</f>
        <v>7.5507552508145101E-2</v>
      </c>
      <c r="AC58" s="127">
        <f>LN(Price!AC59/Price!AC58)</f>
        <v>-1.6170894661164725E-2</v>
      </c>
      <c r="AD58" s="127">
        <f>LN(Price!AD59/Price!AD58)</f>
        <v>-9.3052403143568024E-2</v>
      </c>
      <c r="AE58" s="127">
        <f>LN(Price!AE59/Price!AE58)</f>
        <v>-5.2507220949084092E-4</v>
      </c>
      <c r="AF58" s="127">
        <f>LN(Price!AF59/Price!AF58)</f>
        <v>-1.7062506418816532E-2</v>
      </c>
      <c r="AG58" s="96"/>
    </row>
    <row r="59" spans="1:33" x14ac:dyDescent="0.3">
      <c r="A59" s="126">
        <v>43678</v>
      </c>
      <c r="B59" s="127">
        <f>LN(Price!B60/Price!B59)</f>
        <v>-1.1827458987246115E-2</v>
      </c>
      <c r="C59" s="127">
        <f>LN(Price!C60/Price!C59)</f>
        <v>-3.2591088100068603E-2</v>
      </c>
      <c r="D59" s="127">
        <f>LN(Price!D60/Price!D59)</f>
        <v>0.12777773713895621</v>
      </c>
      <c r="E59" s="127">
        <f>LN(Price!E60/Price!E59)</f>
        <v>-2.832433357714103E-2</v>
      </c>
      <c r="F59" s="127">
        <f>LN(Price!F60/Price!F59)</f>
        <v>-4.8196234116930976E-2</v>
      </c>
      <c r="G59" s="127">
        <f>LN(Price!G60/Price!G59)</f>
        <v>-8.4732080956245417E-2</v>
      </c>
      <c r="H59" s="127">
        <f>LN(Price!H60/Price!H59)</f>
        <v>1.3129291441792581E-2</v>
      </c>
      <c r="I59" s="127">
        <f>LN(Price!I60/Price!I59)</f>
        <v>-9.3584590598858472E-2</v>
      </c>
      <c r="J59" s="127">
        <f>LN(Price!J60/Price!J59)</f>
        <v>-7.7548757873585922E-2</v>
      </c>
      <c r="K59" s="127">
        <f>LN(Price!K60/Price!K59)</f>
        <v>-9.4397832390960335E-2</v>
      </c>
      <c r="L59" s="127">
        <f>LN(Price!L60/Price!L59)</f>
        <v>-5.0925309102809249E-2</v>
      </c>
      <c r="M59" s="127">
        <f>LN(Price!M60/Price!M59)</f>
        <v>-7.1017763526114566E-2</v>
      </c>
      <c r="N59" s="127">
        <f>LN(Price!N60/Price!N59)</f>
        <v>-4.4893610110151472E-2</v>
      </c>
      <c r="O59" s="127">
        <f>LN(Price!O60/Price!O59)</f>
        <v>-8.2691715845113409E-2</v>
      </c>
      <c r="P59" s="127">
        <f>LN(Price!P60/Price!P59)</f>
        <v>-4.090990274412603E-2</v>
      </c>
      <c r="Q59" s="127">
        <f>LN(Price!Q60/Price!Q59)</f>
        <v>2.322569786608469E-2</v>
      </c>
      <c r="R59" s="127">
        <f>LN(Price!R60/Price!R59)</f>
        <v>5.0828019569459933E-2</v>
      </c>
      <c r="S59" s="127">
        <f>LN(Price!S60/Price!S59)</f>
        <v>5.7312356419670515E-2</v>
      </c>
      <c r="T59" s="127">
        <f>LN(Price!T60/Price!T59)</f>
        <v>5.7589864314992294E-2</v>
      </c>
      <c r="U59" s="127">
        <f>LN(Price!U60/Price!U59)</f>
        <v>9.1892747591032303E-2</v>
      </c>
      <c r="V59" s="127">
        <f>LN(Price!V60/Price!V59)</f>
        <v>-2.9324031488085996E-2</v>
      </c>
      <c r="W59" s="127">
        <f>LN(Price!W60/Price!W59)</f>
        <v>-2.7398974188114388E-2</v>
      </c>
      <c r="X59" s="127">
        <f>LN(Price!X60/Price!X59)</f>
        <v>-6.7415584093702879E-2</v>
      </c>
      <c r="Y59" s="127">
        <f>LN(Price!Y60/Price!Y59)</f>
        <v>-5.7990387016966932E-3</v>
      </c>
      <c r="Z59" s="127">
        <f>LN(Price!Z60/Price!Z59)</f>
        <v>-0.13193573248062973</v>
      </c>
      <c r="AA59" s="127">
        <f>LN(Price!AA60/Price!AA59)</f>
        <v>-0.21580486092074314</v>
      </c>
      <c r="AB59" s="127">
        <f>LN(Price!AB60/Price!AB59)</f>
        <v>8.7735752247671425E-2</v>
      </c>
      <c r="AC59" s="127">
        <f>LN(Price!AC60/Price!AC59)</f>
        <v>6.4270304741829564E-4</v>
      </c>
      <c r="AD59" s="127">
        <f>LN(Price!AD60/Price!AD59)</f>
        <v>-4.9988486661540744E-2</v>
      </c>
      <c r="AE59" s="127">
        <f>LN(Price!AE60/Price!AE59)</f>
        <v>-1.0559760215002217E-2</v>
      </c>
      <c r="AF59" s="127">
        <f>LN(Price!AF60/Price!AF59)</f>
        <v>-2.0703382676992496E-2</v>
      </c>
      <c r="AG59" s="96"/>
    </row>
    <row r="60" spans="1:33" x14ac:dyDescent="0.3">
      <c r="A60" s="126">
        <v>43709</v>
      </c>
      <c r="B60" s="127">
        <f>LN(Price!B61/Price!B60)</f>
        <v>-5.9506101131095611E-4</v>
      </c>
      <c r="C60" s="127">
        <f>LN(Price!C61/Price!C60)</f>
        <v>6.594922993196152E-2</v>
      </c>
      <c r="D60" s="127">
        <f>LN(Price!D61/Price!D60)</f>
        <v>3.6061599792051549E-2</v>
      </c>
      <c r="E60" s="127">
        <f>LN(Price!E61/Price!E60)</f>
        <v>-6.6519092283058535E-3</v>
      </c>
      <c r="F60" s="127">
        <f>LN(Price!F61/Price!F60)</f>
        <v>6.4460587926293653E-2</v>
      </c>
      <c r="G60" s="127">
        <f>LN(Price!G61/Price!G60)</f>
        <v>7.7195911213405355E-2</v>
      </c>
      <c r="H60" s="127">
        <f>LN(Price!H61/Price!H60)</f>
        <v>2.4774181985579756E-2</v>
      </c>
      <c r="I60" s="127">
        <f>LN(Price!I61/Price!I60)</f>
        <v>6.5913132002866789E-2</v>
      </c>
      <c r="J60" s="127">
        <f>LN(Price!J61/Price!J60)</f>
        <v>4.7125892660394748E-2</v>
      </c>
      <c r="K60" s="127">
        <f>LN(Price!K61/Price!K60)</f>
        <v>6.0305350912363068E-2</v>
      </c>
      <c r="L60" s="127">
        <f>LN(Price!L61/Price!L60)</f>
        <v>-5.9108112254409539E-2</v>
      </c>
      <c r="M60" s="127">
        <f>LN(Price!M61/Price!M60)</f>
        <v>5.7457055024787214E-2</v>
      </c>
      <c r="N60" s="127">
        <f>LN(Price!N61/Price!N60)</f>
        <v>4.5228674613202402E-2</v>
      </c>
      <c r="O60" s="127">
        <f>LN(Price!O61/Price!O60)</f>
        <v>0.25259075264051079</v>
      </c>
      <c r="P60" s="127">
        <f>LN(Price!P61/Price!P60)</f>
        <v>-4.9573221874276352E-3</v>
      </c>
      <c r="Q60" s="127">
        <f>LN(Price!Q61/Price!Q60)</f>
        <v>2.7219971234087769E-2</v>
      </c>
      <c r="R60" s="127">
        <f>LN(Price!R61/Price!R60)</f>
        <v>6.0733481152137482E-2</v>
      </c>
      <c r="S60" s="127">
        <f>LN(Price!S61/Price!S60)</f>
        <v>6.9665542389404034E-2</v>
      </c>
      <c r="T60" s="127">
        <f>LN(Price!T61/Price!T60)</f>
        <v>0.1019196354192549</v>
      </c>
      <c r="U60" s="127">
        <f>LN(Price!U61/Price!U60)</f>
        <v>-1.8289475466949798E-2</v>
      </c>
      <c r="V60" s="127">
        <f>LN(Price!V61/Price!V60)</f>
        <v>3.7418814109050513E-2</v>
      </c>
      <c r="W60" s="127">
        <f>LN(Price!W61/Price!W60)</f>
        <v>8.1367413930617041E-3</v>
      </c>
      <c r="X60" s="127">
        <f>LN(Price!X61/Price!X60)</f>
        <v>5.2946772973786069E-2</v>
      </c>
      <c r="Y60" s="127">
        <f>LN(Price!Y61/Price!Y60)</f>
        <v>6.3416256539453209E-2</v>
      </c>
      <c r="Z60" s="127">
        <f>LN(Price!Z61/Price!Z60)</f>
        <v>6.9842850288655833E-2</v>
      </c>
      <c r="AA60" s="127">
        <f>LN(Price!AA61/Price!AA60)</f>
        <v>6.6552620509272228E-2</v>
      </c>
      <c r="AB60" s="127">
        <f>LN(Price!AB61/Price!AB60)</f>
        <v>2.7848997186014357E-2</v>
      </c>
      <c r="AC60" s="127">
        <f>LN(Price!AC61/Price!AC60)</f>
        <v>8.6047167451900497E-2</v>
      </c>
      <c r="AD60" s="127">
        <f>LN(Price!AD61/Price!AD60)</f>
        <v>0.13364379637892645</v>
      </c>
      <c r="AE60" s="127">
        <f>LN(Price!AE61/Price!AE60)</f>
        <v>5.0709259753625023E-2</v>
      </c>
      <c r="AF60" s="127">
        <f>LN(Price!AF61/Price!AF60)</f>
        <v>4.0124623948940473E-2</v>
      </c>
      <c r="AG60" s="96"/>
    </row>
    <row r="61" spans="1:33" x14ac:dyDescent="0.3">
      <c r="A61" s="126">
        <v>43739</v>
      </c>
      <c r="B61" s="127">
        <f>LN(Price!B62/Price!B61)</f>
        <v>2.7592005749373896E-2</v>
      </c>
      <c r="C61" s="127">
        <f>LN(Price!C62/Price!C61)</f>
        <v>8.9667081111779762E-2</v>
      </c>
      <c r="D61" s="127">
        <f>LN(Price!D62/Price!D61)</f>
        <v>6.512866574012198E-2</v>
      </c>
      <c r="E61" s="127">
        <f>LN(Price!E62/Price!E61)</f>
        <v>9.6421908657015443E-2</v>
      </c>
      <c r="F61" s="127">
        <f>LN(Price!F62/Price!F61)</f>
        <v>2.3796895143583116E-2</v>
      </c>
      <c r="G61" s="127">
        <f>LN(Price!G62/Price!G61)</f>
        <v>5.0847219976072527E-2</v>
      </c>
      <c r="H61" s="127">
        <f>LN(Price!H62/Price!H61)</f>
        <v>3.5260062956480397E-2</v>
      </c>
      <c r="I61" s="127">
        <f>LN(Price!I62/Price!I61)</f>
        <v>0.13875119595783292</v>
      </c>
      <c r="J61" s="127">
        <f>LN(Price!J62/Price!J61)</f>
        <v>5.1353861905209214E-2</v>
      </c>
      <c r="K61" s="127">
        <f>LN(Price!K62/Price!K61)</f>
        <v>6.1835148998603102E-2</v>
      </c>
      <c r="L61" s="127">
        <f>LN(Price!L62/Price!L61)</f>
        <v>5.542215157548612E-2</v>
      </c>
      <c r="M61" s="127">
        <f>LN(Price!M62/Price!M61)</f>
        <v>-3.1291441901495236E-2</v>
      </c>
      <c r="N61" s="127">
        <f>LN(Price!N62/Price!N61)</f>
        <v>0.10032272162786905</v>
      </c>
      <c r="O61" s="127">
        <f>LN(Price!O62/Price!O61)</f>
        <v>3.5091319811270193E-2</v>
      </c>
      <c r="P61" s="127">
        <f>LN(Price!P62/Price!P61)</f>
        <v>0.11710791978700005</v>
      </c>
      <c r="Q61" s="127">
        <f>LN(Price!Q62/Price!Q61)</f>
        <v>2.461401580493966E-2</v>
      </c>
      <c r="R61" s="127">
        <f>LN(Price!R62/Price!R61)</f>
        <v>3.3772531903222415E-2</v>
      </c>
      <c r="S61" s="127">
        <f>LN(Price!S62/Price!S61)</f>
        <v>-3.1523771977007412E-2</v>
      </c>
      <c r="T61" s="127">
        <f>LN(Price!T62/Price!T61)</f>
        <v>-4.8563630053296898E-2</v>
      </c>
      <c r="U61" s="127">
        <f>LN(Price!U62/Price!U61)</f>
        <v>-1.8212423923298342E-2</v>
      </c>
      <c r="V61" s="127">
        <f>LN(Price!V62/Price!V61)</f>
        <v>6.8442463275414115E-3</v>
      </c>
      <c r="W61" s="127">
        <f>LN(Price!W62/Price!W61)</f>
        <v>5.0255478895815317E-2</v>
      </c>
      <c r="X61" s="127">
        <f>LN(Price!X62/Price!X61)</f>
        <v>1.3363227812166938E-2</v>
      </c>
      <c r="Y61" s="127">
        <f>LN(Price!Y62/Price!Y61)</f>
        <v>6.2128023085979943E-2</v>
      </c>
      <c r="Z61" s="127">
        <f>LN(Price!Z62/Price!Z61)</f>
        <v>1.8352228182231468E-2</v>
      </c>
      <c r="AA61" s="127">
        <f>LN(Price!AA62/Price!AA61)</f>
        <v>-9.2697900613594605E-2</v>
      </c>
      <c r="AB61" s="127">
        <f>LN(Price!AB62/Price!AB61)</f>
        <v>-5.129329438755046E-2</v>
      </c>
      <c r="AC61" s="127">
        <f>LN(Price!AC62/Price!AC61)</f>
        <v>5.0417047364647333E-2</v>
      </c>
      <c r="AD61" s="127">
        <f>LN(Price!AD62/Price!AD61)</f>
        <v>7.056085724208799E-3</v>
      </c>
      <c r="AE61" s="127">
        <f>LN(Price!AE62/Price!AE61)</f>
        <v>4.102379050519972E-2</v>
      </c>
      <c r="AF61" s="127">
        <f>LN(Price!AF62/Price!AF61)</f>
        <v>3.469114466131315E-2</v>
      </c>
      <c r="AG61" s="96"/>
    </row>
    <row r="62" spans="1:33" x14ac:dyDescent="0.3">
      <c r="A62" s="126">
        <v>43770</v>
      </c>
      <c r="B62" s="127">
        <f>LN(Price!B63/Price!B62)</f>
        <v>1.6652696048383445E-2</v>
      </c>
      <c r="C62" s="127">
        <f>LN(Price!C63/Price!C62)</f>
        <v>2.7617446497618339E-2</v>
      </c>
      <c r="D62" s="127">
        <f>LN(Price!D63/Price!D62)</f>
        <v>0.14780950448881119</v>
      </c>
      <c r="E62" s="127">
        <f>LN(Price!E63/Price!E62)</f>
        <v>3.8637792705414134E-2</v>
      </c>
      <c r="F62" s="127">
        <f>LN(Price!F63/Price!F62)</f>
        <v>-7.5627723816997965E-3</v>
      </c>
      <c r="G62" s="127">
        <f>LN(Price!G63/Price!G62)</f>
        <v>0.12482853959790605</v>
      </c>
      <c r="H62" s="127">
        <f>LN(Price!H63/Price!H62)</f>
        <v>6.3750809399322012E-2</v>
      </c>
      <c r="I62" s="127">
        <f>LN(Price!I63/Price!I62)</f>
        <v>-2.3357880768612681E-2</v>
      </c>
      <c r="J62" s="127">
        <f>LN(Price!J63/Price!J62)</f>
        <v>0.10943734941731463</v>
      </c>
      <c r="K62" s="127">
        <f>LN(Price!K63/Price!K62)</f>
        <v>6.4665859849621352E-2</v>
      </c>
      <c r="L62" s="127">
        <f>LN(Price!L63/Price!L62)</f>
        <v>4.7593697123085976E-2</v>
      </c>
      <c r="M62" s="127">
        <f>LN(Price!M63/Price!M62)</f>
        <v>2.1087271727253599E-2</v>
      </c>
      <c r="N62" s="127">
        <f>LN(Price!N63/Price!N62)</f>
        <v>1.7720842157721309E-2</v>
      </c>
      <c r="O62" s="127">
        <f>LN(Price!O63/Price!O62)</f>
        <v>8.6652117061210426E-2</v>
      </c>
      <c r="P62" s="127">
        <f>LN(Price!P63/Price!P62)</f>
        <v>2.8089013760068789E-2</v>
      </c>
      <c r="Q62" s="127">
        <f>LN(Price!Q63/Price!Q62)</f>
        <v>-8.8421628722312809E-3</v>
      </c>
      <c r="R62" s="127">
        <f>LN(Price!R63/Price!R62)</f>
        <v>-8.4547239189324171E-3</v>
      </c>
      <c r="S62" s="127">
        <f>LN(Price!S63/Price!S62)</f>
        <v>2.1567226188808093E-3</v>
      </c>
      <c r="T62" s="127">
        <f>LN(Price!T63/Price!T62)</f>
        <v>-1.5487035201162113E-2</v>
      </c>
      <c r="U62" s="127">
        <f>LN(Price!U63/Price!U62)</f>
        <v>2.6789156098274026E-2</v>
      </c>
      <c r="V62" s="127">
        <f>LN(Price!V63/Price!V62)</f>
        <v>5.0032119844481929E-2</v>
      </c>
      <c r="W62" s="127">
        <f>LN(Price!W63/Price!W62)</f>
        <v>2.5564386705795847E-2</v>
      </c>
      <c r="X62" s="127">
        <f>LN(Price!X63/Price!X62)</f>
        <v>4.9632624202410047E-2</v>
      </c>
      <c r="Y62" s="127">
        <f>LN(Price!Y63/Price!Y62)</f>
        <v>-1.4657383683262251E-4</v>
      </c>
      <c r="Z62" s="127">
        <f>LN(Price!Z63/Price!Z62)</f>
        <v>-1.0734755884837363E-2</v>
      </c>
      <c r="AA62" s="127">
        <f>LN(Price!AA63/Price!AA62)</f>
        <v>-3.5958930387443938E-2</v>
      </c>
      <c r="AB62" s="127">
        <f>LN(Price!AB63/Price!AB62)</f>
        <v>1.1057982195651479E-2</v>
      </c>
      <c r="AC62" s="127">
        <f>LN(Price!AC63/Price!AC62)</f>
        <v>4.2102404426299811E-2</v>
      </c>
      <c r="AD62" s="127">
        <f>LN(Price!AD63/Price!AD62)</f>
        <v>-0.11758774222738665</v>
      </c>
      <c r="AE62" s="127">
        <f>LN(Price!AE63/Price!AE62)</f>
        <v>4.6365920557925558E-2</v>
      </c>
      <c r="AF62" s="127">
        <f>LN(Price!AF63/Price!AF62)</f>
        <v>2.8319525978224045E-2</v>
      </c>
      <c r="AG62" s="96"/>
    </row>
    <row r="63" spans="1:33" x14ac:dyDescent="0.3">
      <c r="A63" s="126">
        <v>43800</v>
      </c>
      <c r="B63" s="127">
        <f>LN(Price!B64/Price!B63)</f>
        <v>-4.4244701797757316E-2</v>
      </c>
      <c r="C63" s="127">
        <f>LN(Price!C64/Price!C63)</f>
        <v>4.3216261960745232E-3</v>
      </c>
      <c r="D63" s="127">
        <f>LN(Price!D64/Price!D63)</f>
        <v>0.11182810525597048</v>
      </c>
      <c r="E63" s="127">
        <f>LN(Price!E64/Price!E63)</f>
        <v>-2.5924339432428906E-2</v>
      </c>
      <c r="F63" s="127">
        <f>LN(Price!F64/Price!F63)</f>
        <v>4.8192864359489218E-3</v>
      </c>
      <c r="G63" s="127">
        <f>LN(Price!G64/Price!G63)</f>
        <v>-4.9373438696546134E-3</v>
      </c>
      <c r="H63" s="127">
        <f>LN(Price!H64/Price!H63)</f>
        <v>5.0110642810814133E-3</v>
      </c>
      <c r="I63" s="127">
        <f>LN(Price!I64/Price!I63)</f>
        <v>-3.639657977469072E-2</v>
      </c>
      <c r="J63" s="127">
        <f>LN(Price!J64/Price!J63)</f>
        <v>4.6355906337732705E-2</v>
      </c>
      <c r="K63" s="127">
        <f>LN(Price!K64/Price!K63)</f>
        <v>-2.1851961713706203E-3</v>
      </c>
      <c r="L63" s="127">
        <f>LN(Price!L64/Price!L63)</f>
        <v>3.8678854565111338E-2</v>
      </c>
      <c r="M63" s="127">
        <f>LN(Price!M64/Price!M63)</f>
        <v>2.4627914890352282E-2</v>
      </c>
      <c r="N63" s="127">
        <f>LN(Price!N64/Price!N63)</f>
        <v>-8.0705863255595804E-3</v>
      </c>
      <c r="O63" s="127">
        <f>LN(Price!O64/Price!O63)</f>
        <v>4.6340337258701923E-2</v>
      </c>
      <c r="P63" s="127">
        <f>LN(Price!P64/Price!P63)</f>
        <v>-7.0221624457444426E-2</v>
      </c>
      <c r="Q63" s="127">
        <f>LN(Price!Q64/Price!Q63)</f>
        <v>1.4902154252106449E-2</v>
      </c>
      <c r="R63" s="127">
        <f>LN(Price!R64/Price!R63)</f>
        <v>-6.1509538618691297E-3</v>
      </c>
      <c r="S63" s="127">
        <f>LN(Price!S64/Price!S63)</f>
        <v>6.4423988034039148E-3</v>
      </c>
      <c r="T63" s="127">
        <f>LN(Price!T64/Price!T63)</f>
        <v>1.6218564129175807E-2</v>
      </c>
      <c r="U63" s="127">
        <f>LN(Price!U64/Price!U63)</f>
        <v>3.4768736901159274E-2</v>
      </c>
      <c r="V63" s="127">
        <f>LN(Price!V64/Price!V63)</f>
        <v>2.699482132132526E-2</v>
      </c>
      <c r="W63" s="127">
        <f>LN(Price!W64/Price!W63)</f>
        <v>-9.055298821555164E-3</v>
      </c>
      <c r="X63" s="127">
        <f>LN(Price!X64/Price!X63)</f>
        <v>2.1030501967786684E-3</v>
      </c>
      <c r="Y63" s="127">
        <f>LN(Price!Y64/Price!Y63)</f>
        <v>-1.2834874134126694E-2</v>
      </c>
      <c r="Z63" s="127">
        <f>LN(Price!Z64/Price!Z63)</f>
        <v>-2.8566040555104675E-2</v>
      </c>
      <c r="AA63" s="127">
        <f>LN(Price!AA64/Price!AA63)</f>
        <v>0.21348608375089129</v>
      </c>
      <c r="AB63" s="127">
        <f>LN(Price!AB64/Price!AB63)</f>
        <v>2.196998320541928E-3</v>
      </c>
      <c r="AC63" s="127">
        <f>LN(Price!AC64/Price!AC63)</f>
        <v>1.1450506787995505E-2</v>
      </c>
      <c r="AD63" s="127">
        <f>LN(Price!AD64/Price!AD63)</f>
        <v>5.6377011182490035E-2</v>
      </c>
      <c r="AE63" s="127">
        <f>LN(Price!AE64/Price!AE63)</f>
        <v>2.1043777467058468E-2</v>
      </c>
      <c r="AF63" s="127">
        <f>LN(Price!AF64/Price!AF63)</f>
        <v>9.5373343245932129E-4</v>
      </c>
      <c r="AG63" s="96"/>
    </row>
    <row r="64" spans="1:33" x14ac:dyDescent="0.3">
      <c r="A64" s="126">
        <v>43831</v>
      </c>
      <c r="B64" s="127">
        <f>LN(Price!B65/Price!B64)</f>
        <v>-5.970166986503796E-3</v>
      </c>
      <c r="C64" s="127">
        <f>LN(Price!C65/Price!C64)</f>
        <v>-8.1907435059787412E-2</v>
      </c>
      <c r="D64" s="127">
        <f>LN(Price!D65/Price!D64)</f>
        <v>8.8148386776704959E-2</v>
      </c>
      <c r="E64" s="127">
        <f>LN(Price!E65/Price!E64)</f>
        <v>-2.0996824107988452E-2</v>
      </c>
      <c r="F64" s="127">
        <f>LN(Price!F65/Price!F64)</f>
        <v>-1.1744521869263532E-2</v>
      </c>
      <c r="G64" s="127">
        <f>LN(Price!G65/Price!G64)</f>
        <v>-4.2981822573685144E-2</v>
      </c>
      <c r="H64" s="127">
        <f>LN(Price!H65/Price!H64)</f>
        <v>-7.4130590191608073E-2</v>
      </c>
      <c r="I64" s="127">
        <f>LN(Price!I65/Price!I64)</f>
        <v>-0.16620740690229774</v>
      </c>
      <c r="J64" s="127">
        <f>LN(Price!J65/Price!J64)</f>
        <v>-3.6604738489929026E-2</v>
      </c>
      <c r="K64" s="127">
        <f>LN(Price!K65/Price!K64)</f>
        <v>-0.12819389091035488</v>
      </c>
      <c r="L64" s="127">
        <f>LN(Price!L65/Price!L64)</f>
        <v>0.11808410445287705</v>
      </c>
      <c r="M64" s="127">
        <f>LN(Price!M65/Price!M64)</f>
        <v>-1.3898764390814985E-2</v>
      </c>
      <c r="N64" s="127">
        <f>LN(Price!N65/Price!N64)</f>
        <v>-8.6138681395898739E-2</v>
      </c>
      <c r="O64" s="127">
        <f>LN(Price!O65/Price!O64)</f>
        <v>1.4981553615616894E-2</v>
      </c>
      <c r="P64" s="127">
        <f>LN(Price!P65/Price!P64)</f>
        <v>-0.1109544568389812</v>
      </c>
      <c r="Q64" s="127">
        <f>LN(Price!Q65/Price!Q64)</f>
        <v>7.1157194316328054E-2</v>
      </c>
      <c r="R64" s="127">
        <f>LN(Price!R65/Price!R64)</f>
        <v>9.5439610095508082E-2</v>
      </c>
      <c r="S64" s="127">
        <f>LN(Price!S65/Price!S64)</f>
        <v>4.8059387389206759E-2</v>
      </c>
      <c r="T64" s="127">
        <f>LN(Price!T65/Price!T64)</f>
        <v>0.13617870805988444</v>
      </c>
      <c r="U64" s="127">
        <f>LN(Price!U65/Price!U64)</f>
        <v>7.4893209728423893E-2</v>
      </c>
      <c r="V64" s="127">
        <f>LN(Price!V65/Price!V64)</f>
        <v>4.7717441313067585E-2</v>
      </c>
      <c r="W64" s="127">
        <f>LN(Price!W65/Price!W64)</f>
        <v>5.515182007508028E-2</v>
      </c>
      <c r="X64" s="127">
        <f>LN(Price!X65/Price!X64)</f>
        <v>7.290677080808794E-2</v>
      </c>
      <c r="Y64" s="127">
        <f>LN(Price!Y65/Price!Y64)</f>
        <v>-9.78821556213295E-2</v>
      </c>
      <c r="Z64" s="127">
        <f>LN(Price!Z65/Price!Z64)</f>
        <v>-0.11304415178391193</v>
      </c>
      <c r="AA64" s="127">
        <f>LN(Price!AA65/Price!AA64)</f>
        <v>-0.14281651040020205</v>
      </c>
      <c r="AB64" s="127">
        <f>LN(Price!AB65/Price!AB64)</f>
        <v>5.7564736221712209E-2</v>
      </c>
      <c r="AC64" s="127">
        <f>LN(Price!AC65/Price!AC64)</f>
        <v>1.1996069768442377E-2</v>
      </c>
      <c r="AD64" s="127">
        <f>LN(Price!AD65/Price!AD64)</f>
        <v>-7.500282679956552E-2</v>
      </c>
      <c r="AE64" s="127">
        <f>LN(Price!AE65/Price!AE64)</f>
        <v>2.0166491179604333E-2</v>
      </c>
      <c r="AF64" s="127">
        <f>LN(Price!AF65/Price!AF64)</f>
        <v>-2.0361360943044089E-2</v>
      </c>
      <c r="AG64" s="96"/>
    </row>
    <row r="65" spans="1:33" x14ac:dyDescent="0.3">
      <c r="A65" s="126">
        <v>43862</v>
      </c>
      <c r="B65" s="127">
        <f>LN(Price!B66/Price!B65)</f>
        <v>-8.2991161872205038E-2</v>
      </c>
      <c r="C65" s="127">
        <f>LN(Price!C66/Price!C65)</f>
        <v>-8.8815733710640166E-2</v>
      </c>
      <c r="D65" s="127">
        <f>LN(Price!D66/Price!D65)</f>
        <v>-0.29605032212229765</v>
      </c>
      <c r="E65" s="127">
        <f>LN(Price!E66/Price!E65)</f>
        <v>-5.4595473334252943E-2</v>
      </c>
      <c r="F65" s="127">
        <f>LN(Price!F66/Price!F65)</f>
        <v>-0.10261033079305167</v>
      </c>
      <c r="G65" s="127">
        <f>LN(Price!G66/Price!G65)</f>
        <v>-0.18049492721089438</v>
      </c>
      <c r="H65" s="127">
        <f>LN(Price!H66/Price!H65)</f>
        <v>-0.15225254575530114</v>
      </c>
      <c r="I65" s="127">
        <f>LN(Price!I66/Price!I65)</f>
        <v>-0.10772851421011098</v>
      </c>
      <c r="J65" s="127">
        <f>LN(Price!J66/Price!J65)</f>
        <v>-4.1183823676990278E-2</v>
      </c>
      <c r="K65" s="127">
        <f>LN(Price!K66/Price!K65)</f>
        <v>-8.7831222961058358E-2</v>
      </c>
      <c r="L65" s="127">
        <f>LN(Price!L66/Price!L65)</f>
        <v>3.5485686598244526E-2</v>
      </c>
      <c r="M65" s="127">
        <f>LN(Price!M66/Price!M65)</f>
        <v>-0.13163376409003333</v>
      </c>
      <c r="N65" s="127">
        <f>LN(Price!N66/Price!N65)</f>
        <v>-8.2827084216500105E-2</v>
      </c>
      <c r="O65" s="127">
        <f>LN(Price!O66/Price!O65)</f>
        <v>-8.532304297386184E-2</v>
      </c>
      <c r="P65" s="127">
        <f>LN(Price!P66/Price!P65)</f>
        <v>-0.16248525889725646</v>
      </c>
      <c r="Q65" s="127">
        <f>LN(Price!Q66/Price!Q65)</f>
        <v>-5.9146281650192575E-2</v>
      </c>
      <c r="R65" s="127">
        <f>LN(Price!R66/Price!R65)</f>
        <v>-6.0921257698068089E-2</v>
      </c>
      <c r="S65" s="127">
        <f>LN(Price!S66/Price!S65)</f>
        <v>-3.459355669980712E-2</v>
      </c>
      <c r="T65" s="127">
        <f>LN(Price!T66/Price!T65)</f>
        <v>-5.7600159253272543E-3</v>
      </c>
      <c r="U65" s="127">
        <f>LN(Price!U66/Price!U65)</f>
        <v>-0.21778258258903938</v>
      </c>
      <c r="V65" s="127">
        <f>LN(Price!V66/Price!V65)</f>
        <v>-4.6619746362012625E-2</v>
      </c>
      <c r="W65" s="127">
        <f>LN(Price!W66/Price!W65)</f>
        <v>-5.4668529190730186E-3</v>
      </c>
      <c r="X65" s="127">
        <f>LN(Price!X66/Price!X65)</f>
        <v>1.8384649401319352E-2</v>
      </c>
      <c r="Y65" s="127">
        <f>LN(Price!Y66/Price!Y65)</f>
        <v>-0.1402205377710366</v>
      </c>
      <c r="Z65" s="127">
        <f>LN(Price!Z66/Price!Z65)</f>
        <v>-1.2905928059022584E-2</v>
      </c>
      <c r="AA65" s="127">
        <f>LN(Price!AA66/Price!AA65)</f>
        <v>-8.4494678342531743E-2</v>
      </c>
      <c r="AB65" s="127">
        <f>LN(Price!AB66/Price!AB65)</f>
        <v>-4.5205436768046801E-2</v>
      </c>
      <c r="AC65" s="127">
        <f>LN(Price!AC66/Price!AC65)</f>
        <v>-0.13853650483996954</v>
      </c>
      <c r="AD65" s="127">
        <f>LN(Price!AD66/Price!AD65)</f>
        <v>-0.24990858742057143</v>
      </c>
      <c r="AE65" s="127">
        <f>LN(Price!AE66/Price!AE65)</f>
        <v>-0.11407430482706955</v>
      </c>
      <c r="AF65" s="127">
        <f>LN(Price!AF66/Price!AF65)</f>
        <v>-8.7834324945895575E-2</v>
      </c>
      <c r="AG65" s="96"/>
    </row>
    <row r="66" spans="1:33" x14ac:dyDescent="0.3">
      <c r="A66" s="126">
        <v>43891</v>
      </c>
      <c r="B66" s="127">
        <f>LN(Price!B67/Price!B66)</f>
        <v>-0.13195256712823195</v>
      </c>
      <c r="C66" s="127">
        <f>LN(Price!C67/Price!C66)</f>
        <v>-0.32979114548190003</v>
      </c>
      <c r="D66" s="127">
        <f>LN(Price!D67/Price!D66)</f>
        <v>-0.13233163243261856</v>
      </c>
      <c r="E66" s="127">
        <f>LN(Price!E67/Price!E66)</f>
        <v>-8.1777209738223472E-2</v>
      </c>
      <c r="F66" s="127">
        <f>LN(Price!F67/Price!F66)</f>
        <v>-0.21649220932034399</v>
      </c>
      <c r="G66" s="127">
        <f>LN(Price!G67/Price!G66)</f>
        <v>-0.18484795420988914</v>
      </c>
      <c r="H66" s="127">
        <f>LN(Price!H67/Price!H66)</f>
        <v>-9.0234586871198397E-2</v>
      </c>
      <c r="I66" s="127">
        <f>LN(Price!I67/Price!I66)</f>
        <v>-0.31049401809321986</v>
      </c>
      <c r="J66" s="127">
        <f>LN(Price!J67/Price!J66)</f>
        <v>-0.33583380289022768</v>
      </c>
      <c r="K66" s="127">
        <f>LN(Price!K67/Price!K66)</f>
        <v>-0.22365275950649069</v>
      </c>
      <c r="L66" s="127">
        <f>LN(Price!L67/Price!L66)</f>
        <v>7.1739435175585439E-2</v>
      </c>
      <c r="M66" s="127">
        <f>LN(Price!M67/Price!M66)</f>
        <v>-0.19626788737198983</v>
      </c>
      <c r="N66" s="127">
        <f>LN(Price!N67/Price!N66)</f>
        <v>-0.37501656166109476</v>
      </c>
      <c r="O66" s="127">
        <f>LN(Price!O67/Price!O66)</f>
        <v>-7.1309027704781799E-2</v>
      </c>
      <c r="P66" s="127">
        <f>LN(Price!P67/Price!P66)</f>
        <v>-0.11400231281647735</v>
      </c>
      <c r="Q66" s="127">
        <f>LN(Price!Q67/Price!Q66)</f>
        <v>-7.9665394481964177E-2</v>
      </c>
      <c r="R66" s="127">
        <f>LN(Price!R67/Price!R66)</f>
        <v>-0.15256245677571348</v>
      </c>
      <c r="S66" s="127">
        <f>LN(Price!S67/Price!S66)</f>
        <v>-0.12786537099789597</v>
      </c>
      <c r="T66" s="127">
        <f>LN(Price!T67/Price!T66)</f>
        <v>-0.2627494477552989</v>
      </c>
      <c r="U66" s="127">
        <f>LN(Price!U67/Price!U66)</f>
        <v>-0.50382706263466737</v>
      </c>
      <c r="V66" s="127">
        <f>LN(Price!V67/Price!V66)</f>
        <v>-4.9187939376822094E-2</v>
      </c>
      <c r="W66" s="127">
        <f>LN(Price!W67/Price!W66)</f>
        <v>-0.14106111253262979</v>
      </c>
      <c r="X66" s="127">
        <f>LN(Price!X67/Price!X66)</f>
        <v>-9.9730288855271743E-2</v>
      </c>
      <c r="Y66" s="127">
        <f>LN(Price!Y67/Price!Y66)</f>
        <v>-0.20711779193456986</v>
      </c>
      <c r="Z66" s="127">
        <f>LN(Price!Z67/Price!Z66)</f>
        <v>-0.43751224280879963</v>
      </c>
      <c r="AA66" s="127">
        <f>LN(Price!AA67/Price!AA66)</f>
        <v>-0.77280326537925537</v>
      </c>
      <c r="AB66" s="127">
        <f>LN(Price!AB67/Price!AB66)</f>
        <v>-0.24063670876172702</v>
      </c>
      <c r="AC66" s="127">
        <f>LN(Price!AC67/Price!AC66)</f>
        <v>-0.22775187926762838</v>
      </c>
      <c r="AD66" s="127">
        <f>LN(Price!AD67/Price!AD66)</f>
        <v>-0.60097672076028819</v>
      </c>
      <c r="AE66" s="127">
        <f>LN(Price!AE67/Price!AE66)</f>
        <v>-0.26166833562297964</v>
      </c>
      <c r="AF66" s="127">
        <f>LN(Price!AF67/Price!AF66)</f>
        <v>-0.17957872476882078</v>
      </c>
      <c r="AG66" s="96"/>
    </row>
    <row r="67" spans="1:33" x14ac:dyDescent="0.3">
      <c r="A67" s="126">
        <v>43922</v>
      </c>
      <c r="B67" s="127">
        <f>LN(Price!B68/Price!B67)</f>
        <v>5.4184433952822103E-2</v>
      </c>
      <c r="C67" s="127">
        <f>LN(Price!C68/Price!C67)</f>
        <v>0.182415150317351</v>
      </c>
      <c r="D67" s="127">
        <f>LN(Price!D68/Price!D67)</f>
        <v>-2.4009615375381503E-3</v>
      </c>
      <c r="E67" s="127">
        <f>LN(Price!E68/Price!E67)</f>
        <v>5.8011918934463683E-2</v>
      </c>
      <c r="F67" s="127">
        <f>LN(Price!F68/Price!F67)</f>
        <v>7.3707221651974311E-2</v>
      </c>
      <c r="G67" s="127">
        <f>LN(Price!G68/Price!G67)</f>
        <v>8.8990135785736807E-2</v>
      </c>
      <c r="H67" s="127">
        <f>LN(Price!H68/Price!H67)</f>
        <v>9.1340170178948049E-2</v>
      </c>
      <c r="I67" s="127">
        <f>LN(Price!I68/Price!I67)</f>
        <v>0.13634356846974949</v>
      </c>
      <c r="J67" s="127">
        <f>LN(Price!J68/Price!J67)</f>
        <v>0.23277682329131305</v>
      </c>
      <c r="K67" s="127">
        <f>LN(Price!K68/Price!K67)</f>
        <v>0.13721200474188611</v>
      </c>
      <c r="L67" s="127">
        <f>LN(Price!L68/Price!L67)</f>
        <v>0.17108140944805064</v>
      </c>
      <c r="M67" s="127">
        <f>LN(Price!M68/Price!M67)</f>
        <v>1.5900118157023968E-2</v>
      </c>
      <c r="N67" s="127">
        <f>LN(Price!N68/Price!N67)</f>
        <v>0.17397068724405662</v>
      </c>
      <c r="O67" s="127">
        <f>LN(Price!O68/Price!O67)</f>
        <v>8.3381608939051E-2</v>
      </c>
      <c r="P67" s="127">
        <f>LN(Price!P68/Price!P67)</f>
        <v>0.25039157071299678</v>
      </c>
      <c r="Q67" s="127">
        <f>LN(Price!Q68/Price!Q67)</f>
        <v>4.226454962284713E-3</v>
      </c>
      <c r="R67" s="127">
        <f>LN(Price!R68/Price!R67)</f>
        <v>0.12513800974801292</v>
      </c>
      <c r="S67" s="127">
        <f>LN(Price!S68/Price!S67)</f>
        <v>0.12575120530556025</v>
      </c>
      <c r="T67" s="127">
        <f>LN(Price!T68/Price!T67)</f>
        <v>9.0899190828639551E-2</v>
      </c>
      <c r="U67" s="127">
        <f>LN(Price!U68/Price!U67)</f>
        <v>-7.0279252111357854E-2</v>
      </c>
      <c r="V67" s="127">
        <f>LN(Price!V68/Price!V67)</f>
        <v>6.3890082770529447E-2</v>
      </c>
      <c r="W67" s="127">
        <f>LN(Price!W68/Price!W67)</f>
        <v>0.17426035956203231</v>
      </c>
      <c r="X67" s="127">
        <f>LN(Price!X68/Price!X67)</f>
        <v>-3.1202100869979231E-2</v>
      </c>
      <c r="Y67" s="127">
        <f>LN(Price!Y68/Price!Y67)</f>
        <v>7.8847591453408694E-2</v>
      </c>
      <c r="Z67" s="127">
        <f>LN(Price!Z68/Price!Z67)</f>
        <v>0.1626713336739444</v>
      </c>
      <c r="AA67" s="127">
        <f>LN(Price!AA68/Price!AA67)</f>
        <v>0.15773362884120823</v>
      </c>
      <c r="AB67" s="127">
        <f>LN(Price!AB68/Price!AB67)</f>
        <v>5.3331656691321921E-2</v>
      </c>
      <c r="AC67" s="127">
        <f>LN(Price!AC68/Price!AC67)</f>
        <v>9.7672430098005317E-2</v>
      </c>
      <c r="AD67" s="127">
        <f>LN(Price!AD68/Price!AD67)</f>
        <v>0.24265839107782597</v>
      </c>
      <c r="AE67" s="127">
        <f>LN(Price!AE68/Price!AE67)</f>
        <v>5.1002554452372582E-2</v>
      </c>
      <c r="AF67" s="127">
        <f>LN(Price!AF68/Price!AF67)</f>
        <v>8.9088893993948939E-2</v>
      </c>
      <c r="AG67" s="96"/>
    </row>
    <row r="68" spans="1:33" x14ac:dyDescent="0.3">
      <c r="A68" s="126">
        <v>43952</v>
      </c>
      <c r="B68" s="127">
        <f>LN(Price!B69/Price!B68)</f>
        <v>1.3272985636335997E-2</v>
      </c>
      <c r="C68" s="127">
        <f>LN(Price!C69/Price!C68)</f>
        <v>3.2835106867165738E-2</v>
      </c>
      <c r="D68" s="127">
        <f>LN(Price!D69/Price!D68)</f>
        <v>6.6264794692696014E-2</v>
      </c>
      <c r="E68" s="127">
        <f>LN(Price!E69/Price!E68)</f>
        <v>4.1005564965928908E-2</v>
      </c>
      <c r="F68" s="127">
        <f>LN(Price!F69/Price!F68)</f>
        <v>-3.6543107394233519E-2</v>
      </c>
      <c r="G68" s="127">
        <f>LN(Price!G69/Price!G68)</f>
        <v>0.15141480254687237</v>
      </c>
      <c r="H68" s="127">
        <f>LN(Price!H69/Price!H68)</f>
        <v>3.0112922857390832E-2</v>
      </c>
      <c r="I68" s="127">
        <f>LN(Price!I69/Price!I68)</f>
        <v>5.670033669879674E-2</v>
      </c>
      <c r="J68" s="127">
        <f>LN(Price!J69/Price!J68)</f>
        <v>0.10677544337885218</v>
      </c>
      <c r="K68" s="127">
        <f>LN(Price!K69/Price!K68)</f>
        <v>-2.719342434155304E-2</v>
      </c>
      <c r="L68" s="127">
        <f>LN(Price!L69/Price!L68)</f>
        <v>8.1374125830344715E-2</v>
      </c>
      <c r="M68" s="127">
        <f>LN(Price!M69/Price!M68)</f>
        <v>0.12561293493280248</v>
      </c>
      <c r="N68" s="127">
        <f>LN(Price!N69/Price!N68)</f>
        <v>6.0688516722115636E-2</v>
      </c>
      <c r="O68" s="127">
        <f>LN(Price!O69/Price!O68)</f>
        <v>-3.2523191705560062E-2</v>
      </c>
      <c r="P68" s="127">
        <f>LN(Price!P69/Price!P68)</f>
        <v>5.0970092927392352E-2</v>
      </c>
      <c r="Q68" s="127">
        <f>LN(Price!Q69/Price!Q68)</f>
        <v>0.13923099026904465</v>
      </c>
      <c r="R68" s="127">
        <f>LN(Price!R69/Price!R68)</f>
        <v>-2.8197806102676512E-2</v>
      </c>
      <c r="S68" s="127">
        <f>LN(Price!S69/Price!S68)</f>
        <v>4.2471427108892797E-2</v>
      </c>
      <c r="T68" s="127">
        <f>LN(Price!T69/Price!T68)</f>
        <v>0.12688780264930261</v>
      </c>
      <c r="U68" s="127">
        <f>LN(Price!U69/Price!U68)</f>
        <v>0.15334585080997129</v>
      </c>
      <c r="V68" s="127">
        <f>LN(Price!V69/Price!V68)</f>
        <v>8.3446471700281549E-2</v>
      </c>
      <c r="W68" s="127">
        <f>LN(Price!W69/Price!W68)</f>
        <v>5.3523571308679428E-2</v>
      </c>
      <c r="X68" s="127">
        <f>LN(Price!X69/Price!X68)</f>
        <v>3.8589997269868948E-2</v>
      </c>
      <c r="Y68" s="127">
        <f>LN(Price!Y69/Price!Y68)</f>
        <v>4.11217996491684E-2</v>
      </c>
      <c r="Z68" s="127">
        <f>LN(Price!Z69/Price!Z68)</f>
        <v>0.13592489895851503</v>
      </c>
      <c r="AA68" s="127">
        <f>LN(Price!AA69/Price!AA68)</f>
        <v>0.12869137242052153</v>
      </c>
      <c r="AB68" s="127">
        <f>LN(Price!AB69/Price!AB68)</f>
        <v>0.11199582512849224</v>
      </c>
      <c r="AC68" s="127">
        <f>LN(Price!AC69/Price!AC68)</f>
        <v>3.5744927274683493E-3</v>
      </c>
      <c r="AD68" s="127">
        <f>LN(Price!AD69/Price!AD68)</f>
        <v>-3.2948958968526494E-3</v>
      </c>
      <c r="AE68" s="127">
        <f>LN(Price!AE69/Price!AE68)</f>
        <v>-2.9276460274445869E-2</v>
      </c>
      <c r="AF68" s="127">
        <f>LN(Price!AF69/Price!AF68)</f>
        <v>6.4633518392877884E-2</v>
      </c>
      <c r="AG68" s="96"/>
    </row>
    <row r="69" spans="1:33" x14ac:dyDescent="0.3">
      <c r="A69" s="126">
        <v>43983</v>
      </c>
      <c r="B69" s="127">
        <f>LN(Price!B70/Price!B69)</f>
        <v>2.8729746138410034E-2</v>
      </c>
      <c r="C69" s="127">
        <f>LN(Price!C70/Price!C69)</f>
        <v>1.8247589773002403E-2</v>
      </c>
      <c r="D69" s="127">
        <f>LN(Price!D70/Price!D69)</f>
        <v>4.5087350633396993E-2</v>
      </c>
      <c r="E69" s="127">
        <f>LN(Price!E70/Price!E69)</f>
        <v>9.1056049697879823E-2</v>
      </c>
      <c r="F69" s="127">
        <f>LN(Price!F70/Price!F69)</f>
        <v>0.11004183938695476</v>
      </c>
      <c r="G69" s="127">
        <f>LN(Price!G70/Price!G69)</f>
        <v>6.1352862353356109E-2</v>
      </c>
      <c r="H69" s="127">
        <f>LN(Price!H70/Price!H69)</f>
        <v>0.15128739941724303</v>
      </c>
      <c r="I69" s="127">
        <f>LN(Price!I70/Price!I69)</f>
        <v>7.972003037108448E-2</v>
      </c>
      <c r="J69" s="127">
        <f>LN(Price!J70/Price!J69)</f>
        <v>0.10174848580912649</v>
      </c>
      <c r="K69" s="127">
        <f>LN(Price!K70/Price!K69)</f>
        <v>7.717225668237758E-2</v>
      </c>
      <c r="L69" s="127">
        <f>LN(Price!L70/Price!L69)</f>
        <v>-9.5142126699148247E-2</v>
      </c>
      <c r="M69" s="127">
        <f>LN(Price!M70/Price!M69)</f>
        <v>-1.529341616949835E-2</v>
      </c>
      <c r="N69" s="127">
        <f>LN(Price!N70/Price!N69)</f>
        <v>4.4976102159376023E-2</v>
      </c>
      <c r="O69" s="127">
        <f>LN(Price!O70/Price!O69)</f>
        <v>0.15296934478142729</v>
      </c>
      <c r="P69" s="127">
        <f>LN(Price!P70/Price!P69)</f>
        <v>7.6816273952527964E-2</v>
      </c>
      <c r="Q69" s="127">
        <f>LN(Price!Q70/Price!Q69)</f>
        <v>5.2663540956800883E-2</v>
      </c>
      <c r="R69" s="127">
        <f>LN(Price!R70/Price!R69)</f>
        <v>1.4531366083319576E-3</v>
      </c>
      <c r="S69" s="127">
        <f>LN(Price!S70/Price!S69)</f>
        <v>8.5178506060453726E-2</v>
      </c>
      <c r="T69" s="127">
        <f>LN(Price!T70/Price!T69)</f>
        <v>4.3356544184354667E-2</v>
      </c>
      <c r="U69" s="127">
        <f>LN(Price!U70/Price!U69)</f>
        <v>6.1882305005522636E-2</v>
      </c>
      <c r="V69" s="127">
        <f>LN(Price!V70/Price!V69)</f>
        <v>-6.7357121322221773E-3</v>
      </c>
      <c r="W69" s="127">
        <f>LN(Price!W70/Price!W69)</f>
        <v>9.2166551049240476E-3</v>
      </c>
      <c r="X69" s="127">
        <f>LN(Price!X70/Price!X69)</f>
        <v>5.2239219099419698E-2</v>
      </c>
      <c r="Y69" s="127">
        <f>LN(Price!Y70/Price!Y69)</f>
        <v>2.4968312179821657E-2</v>
      </c>
      <c r="Z69" s="127">
        <f>LN(Price!Z70/Price!Z69)</f>
        <v>-1.4578845912826465E-2</v>
      </c>
      <c r="AA69" s="127">
        <f>LN(Price!AA70/Price!AA69)</f>
        <v>0.15361145091152323</v>
      </c>
      <c r="AB69" s="127">
        <f>LN(Price!AB70/Price!AB69)</f>
        <v>6.9802764687623198E-2</v>
      </c>
      <c r="AC69" s="127">
        <f>LN(Price!AC70/Price!AC69)</f>
        <v>0.11450281925650835</v>
      </c>
      <c r="AD69" s="127">
        <f>LN(Price!AD70/Price!AD69)</f>
        <v>4.0425876471898811E-2</v>
      </c>
      <c r="AE69" s="127">
        <f>LN(Price!AE70/Price!AE69)</f>
        <v>4.4506727256037451E-2</v>
      </c>
      <c r="AF69" s="127">
        <f>LN(Price!AF70/Price!AF69)</f>
        <v>6.0616651288704866E-2</v>
      </c>
      <c r="AG69" s="96"/>
    </row>
    <row r="70" spans="1:33" x14ac:dyDescent="0.3">
      <c r="A70" s="126">
        <v>44013</v>
      </c>
      <c r="B70" s="127">
        <f>LN(Price!B71/Price!B70)</f>
        <v>-6.7659256753017805E-3</v>
      </c>
      <c r="C70" s="127">
        <f>LN(Price!C71/Price!C70)</f>
        <v>-7.6516497896978231E-2</v>
      </c>
      <c r="D70" s="127">
        <f>LN(Price!D71/Price!D70)</f>
        <v>0.12705887811890518</v>
      </c>
      <c r="E70" s="127">
        <f>LN(Price!E71/Price!E70)</f>
        <v>7.3337773070924692E-2</v>
      </c>
      <c r="F70" s="127">
        <f>LN(Price!F71/Price!F70)</f>
        <v>-3.0953921094202811E-2</v>
      </c>
      <c r="G70" s="127">
        <f>LN(Price!G71/Price!G70)</f>
        <v>3.3424945105375858E-2</v>
      </c>
      <c r="H70" s="127">
        <f>LN(Price!H71/Price!H70)</f>
        <v>5.1201124241395529E-2</v>
      </c>
      <c r="I70" s="127">
        <f>LN(Price!I71/Price!I70)</f>
        <v>3.3993755815712651E-2</v>
      </c>
      <c r="J70" s="127">
        <f>LN(Price!J71/Price!J70)</f>
        <v>1.1902068613527297E-2</v>
      </c>
      <c r="K70" s="127">
        <f>LN(Price!K71/Price!K70)</f>
        <v>-3.8024666998106312E-2</v>
      </c>
      <c r="L70" s="127">
        <f>LN(Price!L71/Price!L70)</f>
        <v>0.19350341489636949</v>
      </c>
      <c r="M70" s="127">
        <f>LN(Price!M71/Price!M70)</f>
        <v>1.283422636061313E-3</v>
      </c>
      <c r="N70" s="127">
        <f>LN(Price!N71/Price!N70)</f>
        <v>-6.1883721421070563E-2</v>
      </c>
      <c r="O70" s="127">
        <f>LN(Price!O71/Price!O70)</f>
        <v>-5.4658412537864083E-2</v>
      </c>
      <c r="P70" s="127">
        <f>LN(Price!P71/Price!P70)</f>
        <v>-2.5886631075105601E-3</v>
      </c>
      <c r="Q70" s="127">
        <f>LN(Price!Q71/Price!Q70)</f>
        <v>1.0933053508947641E-2</v>
      </c>
      <c r="R70" s="127">
        <f>LN(Price!R71/Price!R70)</f>
        <v>4.4956706827302094E-2</v>
      </c>
      <c r="S70" s="127">
        <f>LN(Price!S71/Price!S70)</f>
        <v>-4.0873739623886358E-2</v>
      </c>
      <c r="T70" s="127">
        <f>LN(Price!T71/Price!T70)</f>
        <v>2.7581396496262577E-2</v>
      </c>
      <c r="U70" s="127">
        <f>LN(Price!U71/Price!U70)</f>
        <v>-4.8514496687530349E-2</v>
      </c>
      <c r="V70" s="127">
        <f>LN(Price!V71/Price!V70)</f>
        <v>3.0809584143197108E-2</v>
      </c>
      <c r="W70" s="127">
        <f>LN(Price!W71/Price!W70)</f>
        <v>-2.2264370497399422E-2</v>
      </c>
      <c r="X70" s="127">
        <f>LN(Price!X71/Price!X70)</f>
        <v>-8.0160749882360605E-3</v>
      </c>
      <c r="Y70" s="127">
        <f>LN(Price!Y71/Price!Y70)</f>
        <v>-6.352326549985654E-2</v>
      </c>
      <c r="Z70" s="127">
        <f>LN(Price!Z71/Price!Z70)</f>
        <v>-5.4220208343166515E-2</v>
      </c>
      <c r="AA70" s="127">
        <f>LN(Price!AA71/Price!AA70)</f>
        <v>-1.3029500290333796E-2</v>
      </c>
      <c r="AB70" s="127">
        <f>LN(Price!AB71/Price!AB70)</f>
        <v>-4.4266844000519848E-2</v>
      </c>
      <c r="AC70" s="127">
        <f>LN(Price!AC71/Price!AC70)</f>
        <v>-1.1442223870646438E-2</v>
      </c>
      <c r="AD70" s="127">
        <f>LN(Price!AD71/Price!AD70)</f>
        <v>4.0378155943397512E-2</v>
      </c>
      <c r="AE70" s="127">
        <f>LN(Price!AE71/Price!AE70)</f>
        <v>-6.6879025010570428E-2</v>
      </c>
      <c r="AF70" s="127">
        <f>LN(Price!AF71/Price!AF70)</f>
        <v>1.9736609728747013E-4</v>
      </c>
      <c r="AG70" s="96"/>
    </row>
    <row r="71" spans="1:33" x14ac:dyDescent="0.3">
      <c r="A71" s="126">
        <v>44044</v>
      </c>
      <c r="B71" s="127">
        <f>LN(Price!B72/Price!B71)</f>
        <v>2.1491760720345809E-2</v>
      </c>
      <c r="C71" s="127">
        <f>LN(Price!C72/Price!C71)</f>
        <v>0.10860325229967166</v>
      </c>
      <c r="D71" s="127">
        <f>LN(Price!D72/Price!D71)</f>
        <v>0.31015492830383945</v>
      </c>
      <c r="E71" s="127">
        <f>LN(Price!E72/Price!E71)</f>
        <v>3.1346838539540574E-2</v>
      </c>
      <c r="F71" s="127">
        <f>LN(Price!F72/Price!F71)</f>
        <v>2.9632626033002693E-2</v>
      </c>
      <c r="G71" s="127">
        <f>LN(Price!G72/Price!G71)</f>
        <v>6.5498122017271856E-2</v>
      </c>
      <c r="H71" s="127">
        <f>LN(Price!H72/Price!H71)</f>
        <v>0.1067605858900274</v>
      </c>
      <c r="I71" s="127">
        <f>LN(Price!I72/Price!I71)</f>
        <v>0.13135656951720187</v>
      </c>
      <c r="J71" s="127">
        <f>LN(Price!J72/Price!J71)</f>
        <v>9.1732821076829243E-2</v>
      </c>
      <c r="K71" s="127">
        <f>LN(Price!K72/Price!K71)</f>
        <v>9.4977732992752334E-2</v>
      </c>
      <c r="L71" s="127">
        <f>LN(Price!L72/Price!L71)</f>
        <v>0.15033533754160591</v>
      </c>
      <c r="M71" s="127">
        <f>LN(Price!M72/Price!M71)</f>
        <v>8.4800012533172667E-2</v>
      </c>
      <c r="N71" s="127">
        <f>LN(Price!N72/Price!N71)</f>
        <v>6.4616496887152472E-2</v>
      </c>
      <c r="O71" s="127">
        <f>LN(Price!O72/Price!O71)</f>
        <v>0.31538467500111672</v>
      </c>
      <c r="P71" s="127">
        <f>LN(Price!P72/Price!P71)</f>
        <v>0.13870203496144526</v>
      </c>
      <c r="Q71" s="127">
        <f>LN(Price!Q72/Price!Q71)</f>
        <v>8.3743993432960628E-2</v>
      </c>
      <c r="R71" s="127">
        <f>LN(Price!R72/Price!R71)</f>
        <v>5.0529467345657407E-2</v>
      </c>
      <c r="S71" s="127">
        <f>LN(Price!S72/Price!S71)</f>
        <v>2.4282343227003997E-2</v>
      </c>
      <c r="T71" s="127">
        <f>LN(Price!T72/Price!T71)</f>
        <v>4.0446689580589806E-2</v>
      </c>
      <c r="U71" s="127">
        <f>LN(Price!U72/Price!U71)</f>
        <v>5.562506316895912E-2</v>
      </c>
      <c r="V71" s="127">
        <f>LN(Price!V72/Price!V71)</f>
        <v>8.01920617175748E-2</v>
      </c>
      <c r="W71" s="127">
        <f>LN(Price!W72/Price!W71)</f>
        <v>-4.8883977200130824E-2</v>
      </c>
      <c r="X71" s="127">
        <f>LN(Price!X72/Price!X71)</f>
        <v>-3.0226723265860101E-3</v>
      </c>
      <c r="Y71" s="127">
        <f>LN(Price!Y72/Price!Y71)</f>
        <v>8.6904556501358643E-2</v>
      </c>
      <c r="Z71" s="127">
        <f>LN(Price!Z72/Price!Z71)</f>
        <v>9.9529595347033067E-2</v>
      </c>
      <c r="AA71" s="127">
        <f>LN(Price!AA72/Price!AA71)</f>
        <v>0.23811291642237034</v>
      </c>
      <c r="AB71" s="127">
        <f>LN(Price!AB72/Price!AB71)</f>
        <v>4.9484247140208298E-2</v>
      </c>
      <c r="AC71" s="127">
        <f>LN(Price!AC72/Price!AC71)</f>
        <v>9.0246877847778031E-2</v>
      </c>
      <c r="AD71" s="127">
        <f>LN(Price!AD72/Price!AD71)</f>
        <v>-8.7426573175789529E-2</v>
      </c>
      <c r="AE71" s="127">
        <f>LN(Price!AE72/Price!AE71)</f>
        <v>6.4433212609321857E-3</v>
      </c>
      <c r="AF71" s="127">
        <f>LN(Price!AF72/Price!AF71)</f>
        <v>5.0054115961253365E-2</v>
      </c>
      <c r="AG71" s="96"/>
    </row>
    <row r="72" spans="1:33" x14ac:dyDescent="0.3">
      <c r="A72" s="126">
        <v>44075</v>
      </c>
      <c r="B72" s="127">
        <f>LN(Price!B73/Price!B72)</f>
        <v>5.9959949143243985E-2</v>
      </c>
      <c r="C72" s="127">
        <f>LN(Price!C73/Price!C72)</f>
        <v>-1.4020609813723817E-2</v>
      </c>
      <c r="D72" s="127">
        <f>LN(Price!D73/Price!D72)</f>
        <v>0.25915398883724289</v>
      </c>
      <c r="E72" s="127">
        <f>LN(Price!E73/Price!E72)</f>
        <v>-3.9000511378028756E-2</v>
      </c>
      <c r="F72" s="127">
        <f>LN(Price!F73/Price!F72)</f>
        <v>-0.10381917438603414</v>
      </c>
      <c r="G72" s="127">
        <f>LN(Price!G73/Price!G72)</f>
        <v>3.4131718931569285E-2</v>
      </c>
      <c r="H72" s="127">
        <f>LN(Price!H73/Price!H72)</f>
        <v>2.0255171838399227E-2</v>
      </c>
      <c r="I72" s="127">
        <f>LN(Price!I73/Price!I72)</f>
        <v>7.648330991599385E-2</v>
      </c>
      <c r="J72" s="127">
        <f>LN(Price!J73/Price!J72)</f>
        <v>4.0614719154190342E-2</v>
      </c>
      <c r="K72" s="127">
        <f>LN(Price!K73/Price!K72)</f>
        <v>3.0131639293140208E-2</v>
      </c>
      <c r="L72" s="127">
        <f>LN(Price!L73/Price!L72)</f>
        <v>-5.1086376429782247E-2</v>
      </c>
      <c r="M72" s="127">
        <f>LN(Price!M73/Price!M72)</f>
        <v>8.1069432812802794E-2</v>
      </c>
      <c r="N72" s="127">
        <f>LN(Price!N73/Price!N72)</f>
        <v>-7.8278286202467916E-3</v>
      </c>
      <c r="O72" s="127">
        <f>LN(Price!O73/Price!O72)</f>
        <v>3.2260862218221262E-2</v>
      </c>
      <c r="P72" s="127">
        <f>LN(Price!P73/Price!P72)</f>
        <v>0.106082276786236</v>
      </c>
      <c r="Q72" s="127">
        <f>LN(Price!Q73/Price!Q72)</f>
        <v>-2.3951220822513324E-2</v>
      </c>
      <c r="R72" s="127">
        <f>LN(Price!R73/Price!R72)</f>
        <v>9.1583691409637083E-2</v>
      </c>
      <c r="S72" s="127">
        <f>LN(Price!S73/Price!S72)</f>
        <v>-5.5822408297206368E-2</v>
      </c>
      <c r="T72" s="127">
        <f>LN(Price!T73/Price!T72)</f>
        <v>-4.0446689580589897E-2</v>
      </c>
      <c r="U72" s="127">
        <f>LN(Price!U73/Price!U72)</f>
        <v>-8.920966321232747E-2</v>
      </c>
      <c r="V72" s="127">
        <f>LN(Price!V73/Price!V72)</f>
        <v>-4.4665617303184822E-2</v>
      </c>
      <c r="W72" s="127">
        <f>LN(Price!W73/Price!W72)</f>
        <v>1.3419267627848067E-2</v>
      </c>
      <c r="X72" s="127">
        <f>LN(Price!X73/Price!X72)</f>
        <v>-4.9648251696530595E-2</v>
      </c>
      <c r="Y72" s="127">
        <f>LN(Price!Y73/Price!Y72)</f>
        <v>1.7857617400006253E-2</v>
      </c>
      <c r="Z72" s="127">
        <f>LN(Price!Z73/Price!Z72)</f>
        <v>1.3937507843781678E-2</v>
      </c>
      <c r="AA72" s="127">
        <f>LN(Price!AA73/Price!AA72)</f>
        <v>8.4208140652599614E-2</v>
      </c>
      <c r="AB72" s="127">
        <f>LN(Price!AB73/Price!AB72)</f>
        <v>0.10527378162767516</v>
      </c>
      <c r="AC72" s="127">
        <f>LN(Price!AC73/Price!AC72)</f>
        <v>-0.1253350482560964</v>
      </c>
      <c r="AD72" s="127">
        <f>LN(Price!AD73/Price!AD72)</f>
        <v>-0.33414935520507327</v>
      </c>
      <c r="AE72" s="127">
        <f>LN(Price!AE73/Price!AE72)</f>
        <v>-0.12358015334070939</v>
      </c>
      <c r="AF72" s="127">
        <f>LN(Price!AF73/Price!AF72)</f>
        <v>-1.4366481424398357E-2</v>
      </c>
      <c r="AG72" s="96"/>
    </row>
    <row r="73" spans="1:33" x14ac:dyDescent="0.3">
      <c r="A73" s="126">
        <v>44105</v>
      </c>
      <c r="B73" s="127">
        <f>LN(Price!B74/Price!B73)</f>
        <v>-2.8564303177532866E-2</v>
      </c>
      <c r="C73" s="127">
        <f>LN(Price!C74/Price!C73)</f>
        <v>-9.378296231538355E-2</v>
      </c>
      <c r="D73" s="127">
        <f>LN(Price!D74/Price!D73)</f>
        <v>-1.6207810226853425E-2</v>
      </c>
      <c r="E73" s="127">
        <f>LN(Price!E74/Price!E73)</f>
        <v>-0.37231331016032992</v>
      </c>
      <c r="F73" s="127">
        <f>LN(Price!F74/Price!F73)</f>
        <v>-7.9869557200250282E-2</v>
      </c>
      <c r="G73" s="127">
        <f>LN(Price!G74/Price!G73)</f>
        <v>-6.8873698547012502E-2</v>
      </c>
      <c r="H73" s="127">
        <f>LN(Price!H74/Price!H73)</f>
        <v>-2.2356012947211002E-2</v>
      </c>
      <c r="I73" s="127">
        <f>LN(Price!I74/Price!I73)</f>
        <v>-3.6271114415502827E-2</v>
      </c>
      <c r="J73" s="127">
        <f>LN(Price!J74/Price!J73)</f>
        <v>-9.1629129215198366E-3</v>
      </c>
      <c r="K73" s="127">
        <f>LN(Price!K74/Price!K73)</f>
        <v>-5.487412843904705E-2</v>
      </c>
      <c r="L73" s="127">
        <f>LN(Price!L74/Price!L73)</f>
        <v>0.12130174195651479</v>
      </c>
      <c r="M73" s="127">
        <f>LN(Price!M74/Price!M73)</f>
        <v>-7.9499573777682644E-2</v>
      </c>
      <c r="N73" s="127">
        <f>LN(Price!N74/Price!N73)</f>
        <v>-0.10122152706738198</v>
      </c>
      <c r="O73" s="127">
        <f>LN(Price!O74/Price!O73)</f>
        <v>5.6570351488394455E-2</v>
      </c>
      <c r="P73" s="127">
        <f>LN(Price!P74/Price!P73)</f>
        <v>-1.2250051105937911E-2</v>
      </c>
      <c r="Q73" s="127">
        <f>LN(Price!Q74/Price!Q73)</f>
        <v>-6.633825052494767E-2</v>
      </c>
      <c r="R73" s="127">
        <f>LN(Price!R74/Price!R73)</f>
        <v>2.0660250159939293E-2</v>
      </c>
      <c r="S73" s="127">
        <f>LN(Price!S74/Price!S73)</f>
        <v>-0.17024523724891599</v>
      </c>
      <c r="T73" s="127">
        <f>LN(Price!T74/Price!T73)</f>
        <v>-5.958932483096856E-3</v>
      </c>
      <c r="U73" s="127">
        <f>LN(Price!U74/Price!U73)</f>
        <v>3.1539609555640828E-2</v>
      </c>
      <c r="V73" s="127">
        <f>LN(Price!V74/Price!V73)</f>
        <v>1.4880534981947443E-2</v>
      </c>
      <c r="W73" s="127">
        <f>LN(Price!W74/Price!W73)</f>
        <v>-9.3673086804226938E-2</v>
      </c>
      <c r="X73" s="127">
        <f>LN(Price!X74/Price!X73)</f>
        <v>-5.2242564358602174E-2</v>
      </c>
      <c r="Y73" s="127">
        <f>LN(Price!Y74/Price!Y73)</f>
        <v>-9.9223173800293177E-2</v>
      </c>
      <c r="Z73" s="127">
        <f>LN(Price!Z74/Price!Z73)</f>
        <v>-1.3060699370247173E-2</v>
      </c>
      <c r="AA73" s="127">
        <f>LN(Price!AA74/Price!AA73)</f>
        <v>-0.10246158096194996</v>
      </c>
      <c r="AB73" s="127">
        <f>LN(Price!AB74/Price!AB73)</f>
        <v>-2.3964280438728596E-2</v>
      </c>
      <c r="AC73" s="127">
        <f>LN(Price!AC74/Price!AC73)</f>
        <v>-8.1009777869103794E-2</v>
      </c>
      <c r="AD73" s="127">
        <f>LN(Price!AD74/Price!AD73)</f>
        <v>-4.9950930405394313E-2</v>
      </c>
      <c r="AE73" s="127">
        <f>LN(Price!AE74/Price!AE73)</f>
        <v>-8.4899443786486159E-2</v>
      </c>
      <c r="AF73" s="127">
        <f>LN(Price!AF74/Price!AF73)</f>
        <v>-9.912616770623639E-2</v>
      </c>
      <c r="AG73" s="96"/>
    </row>
    <row r="74" spans="1:33" x14ac:dyDescent="0.3">
      <c r="A74" s="126">
        <v>44136</v>
      </c>
      <c r="B74" s="127">
        <f>LN(Price!B75/Price!B74)</f>
        <v>4.1002274469749987E-2</v>
      </c>
      <c r="C74" s="127">
        <f>LN(Price!C75/Price!C74)</f>
        <v>0.1220549177898429</v>
      </c>
      <c r="D74" s="127">
        <f>LN(Price!D75/Price!D74)</f>
        <v>0.34792215282913774</v>
      </c>
      <c r="E74" s="127">
        <f>LN(Price!E75/Price!E74)</f>
        <v>0.10854703893556589</v>
      </c>
      <c r="F74" s="127">
        <f>LN(Price!F75/Price!F74)</f>
        <v>0.26887127406273587</v>
      </c>
      <c r="G74" s="127">
        <f>LN(Price!G75/Price!G74)</f>
        <v>0.1063530715705779</v>
      </c>
      <c r="H74" s="127">
        <f>LN(Price!H75/Price!H74)</f>
        <v>6.2663736435303943E-2</v>
      </c>
      <c r="I74" s="127">
        <f>LN(Price!I75/Price!I74)</f>
        <v>0.24011582115749208</v>
      </c>
      <c r="J74" s="127">
        <f>LN(Price!J75/Price!J74)</f>
        <v>0.21118954079480681</v>
      </c>
      <c r="K74" s="127">
        <f>LN(Price!K75/Price!K74)</f>
        <v>0.21890828301193216</v>
      </c>
      <c r="L74" s="127">
        <f>LN(Price!L75/Price!L74)</f>
        <v>-6.4986595443933273E-2</v>
      </c>
      <c r="M74" s="127">
        <f>LN(Price!M75/Price!M74)</f>
        <v>4.7108077986447262E-2</v>
      </c>
      <c r="N74" s="127">
        <f>LN(Price!N75/Price!N74)</f>
        <v>0.14729493468270374</v>
      </c>
      <c r="O74" s="127">
        <f>LN(Price!O75/Price!O74)</f>
        <v>0.15057285847937441</v>
      </c>
      <c r="P74" s="127">
        <f>LN(Price!P75/Price!P74)</f>
        <v>0.19362418954385258</v>
      </c>
      <c r="Q74" s="127">
        <f>LN(Price!Q75/Price!Q74)</f>
        <v>4.738197033618434E-2</v>
      </c>
      <c r="R74" s="127">
        <f>LN(Price!R75/Price!R74)</f>
        <v>5.1352278098232694E-2</v>
      </c>
      <c r="S74" s="127">
        <f>LN(Price!S75/Price!S74)</f>
        <v>0.10079927820100529</v>
      </c>
      <c r="T74" s="127">
        <f>LN(Price!T75/Price!T74)</f>
        <v>8.9603171097058884E-2</v>
      </c>
      <c r="U74" s="127">
        <f>LN(Price!U75/Price!U74)</f>
        <v>0.30064780639523808</v>
      </c>
      <c r="V74" s="127">
        <f>LN(Price!V75/Price!V74)</f>
        <v>-3.0223689743067682E-2</v>
      </c>
      <c r="W74" s="127">
        <f>LN(Price!W75/Price!W74)</f>
        <v>7.2341938401720776E-2</v>
      </c>
      <c r="X74" s="127">
        <f>LN(Price!X75/Price!X74)</f>
        <v>1.4420660326437964E-2</v>
      </c>
      <c r="Y74" s="127">
        <f>LN(Price!Y75/Price!Y74)</f>
        <v>0.26463326422484135</v>
      </c>
      <c r="Z74" s="127">
        <f>LN(Price!Z75/Price!Z74)</f>
        <v>0.22401959166808957</v>
      </c>
      <c r="AA74" s="127">
        <f>LN(Price!AA75/Price!AA74)</f>
        <v>8.5694721104882979E-2</v>
      </c>
      <c r="AB74" s="127">
        <f>LN(Price!AB75/Price!AB74)</f>
        <v>0.10514727330708747</v>
      </c>
      <c r="AC74" s="127">
        <f>LN(Price!AC75/Price!AC74)</f>
        <v>0.15890738451577915</v>
      </c>
      <c r="AD74" s="127">
        <f>LN(Price!AD75/Price!AD74)</f>
        <v>0.31177962403084153</v>
      </c>
      <c r="AE74" s="127">
        <f>LN(Price!AE75/Price!AE74)</f>
        <v>0.20203627586626335</v>
      </c>
      <c r="AF74" s="127">
        <f>LN(Price!AF75/Price!AF74)</f>
        <v>0.13985283398276582</v>
      </c>
      <c r="AG74" s="96"/>
    </row>
    <row r="75" spans="1:33" x14ac:dyDescent="0.3">
      <c r="A75" s="126">
        <v>44166</v>
      </c>
      <c r="B75" s="127">
        <f>LN(Price!B76/Price!B75)</f>
        <v>-2.5666510655398714E-2</v>
      </c>
      <c r="C75" s="127">
        <f>LN(Price!C76/Price!C75)</f>
        <v>7.5471532975262962E-2</v>
      </c>
      <c r="D75" s="127">
        <f>LN(Price!D76/Price!D75)</f>
        <v>0.16616611657166944</v>
      </c>
      <c r="E75" s="127">
        <f>LN(Price!E76/Price!E75)</f>
        <v>5.0106082772381939E-2</v>
      </c>
      <c r="F75" s="127">
        <f>LN(Price!F76/Price!F75)</f>
        <v>1.52628728542546E-2</v>
      </c>
      <c r="G75" s="127">
        <f>LN(Price!G76/Price!G75)</f>
        <v>4.81096605705272E-2</v>
      </c>
      <c r="H75" s="127">
        <f>LN(Price!H76/Price!H75)</f>
        <v>0</v>
      </c>
      <c r="I75" s="127">
        <f>LN(Price!I76/Price!I75)</f>
        <v>2.3460459734015573E-2</v>
      </c>
      <c r="J75" s="127">
        <f>LN(Price!J76/Price!J75)</f>
        <v>6.1421371121590407E-2</v>
      </c>
      <c r="K75" s="127">
        <f>LN(Price!K76/Price!K75)</f>
        <v>-1.1151764223957621E-2</v>
      </c>
      <c r="L75" s="127">
        <f>LN(Price!L76/Price!L75)</f>
        <v>-4.5341099480604823E-2</v>
      </c>
      <c r="M75" s="127">
        <f>LN(Price!M76/Price!M75)</f>
        <v>0.10838623657436321</v>
      </c>
      <c r="N75" s="127">
        <f>LN(Price!N76/Price!N75)</f>
        <v>5.6532827332214437E-2</v>
      </c>
      <c r="O75" s="127">
        <f>LN(Price!O76/Price!O75)</f>
        <v>1.069528911674795E-2</v>
      </c>
      <c r="P75" s="127">
        <f>LN(Price!P76/Price!P75)</f>
        <v>7.2462359275701313E-2</v>
      </c>
      <c r="Q75" s="127">
        <f>LN(Price!Q76/Price!Q75)</f>
        <v>3.8899479613737811E-2</v>
      </c>
      <c r="R75" s="127">
        <f>LN(Price!R76/Price!R75)</f>
        <v>4.7419532841529895E-2</v>
      </c>
      <c r="S75" s="127">
        <f>LN(Price!S76/Price!S75)</f>
        <v>-3.5842332278151613E-3</v>
      </c>
      <c r="T75" s="127">
        <f>LN(Price!T76/Price!T75)</f>
        <v>-5.7686920862369375E-3</v>
      </c>
      <c r="U75" s="127">
        <f>LN(Price!U76/Price!U75)</f>
        <v>7.5153865315513366E-2</v>
      </c>
      <c r="V75" s="127">
        <f>LN(Price!V76/Price!V75)</f>
        <v>3.8497696954594096E-2</v>
      </c>
      <c r="W75" s="127">
        <f>LN(Price!W76/Price!W75)</f>
        <v>-3.316814496880649E-2</v>
      </c>
      <c r="X75" s="127">
        <f>LN(Price!X76/Price!X75)</f>
        <v>-2.2050725583138702E-3</v>
      </c>
      <c r="Y75" s="127">
        <f>LN(Price!Y76/Price!Y75)</f>
        <v>5.3801153112343944E-2</v>
      </c>
      <c r="Z75" s="127">
        <f>LN(Price!Z76/Price!Z75)</f>
        <v>5.9903232595682802E-2</v>
      </c>
      <c r="AA75" s="127">
        <f>LN(Price!AA76/Price!AA75)</f>
        <v>0.31449332990243772</v>
      </c>
      <c r="AB75" s="127">
        <f>LN(Price!AB76/Price!AB75)</f>
        <v>0.10165885530049605</v>
      </c>
      <c r="AC75" s="127">
        <f>LN(Price!AC76/Price!AC75)</f>
        <v>3.1846382796421928E-2</v>
      </c>
      <c r="AD75" s="127">
        <f>LN(Price!AD76/Price!AD75)</f>
        <v>0.37156355643248301</v>
      </c>
      <c r="AE75" s="127">
        <f>LN(Price!AE76/Price!AE75)</f>
        <v>2.6157791234014818E-2</v>
      </c>
      <c r="AF75" s="127">
        <f>LN(Price!AF76/Price!AF75)</f>
        <v>3.1666544473119111E-2</v>
      </c>
      <c r="AG75" s="96"/>
    </row>
    <row r="76" spans="1:33" x14ac:dyDescent="0.3">
      <c r="A76" s="126">
        <v>44197</v>
      </c>
      <c r="B76" s="127">
        <f>LN(Price!B77/Price!B76)</f>
        <v>-2.1147856378316846E-2</v>
      </c>
      <c r="C76" s="127">
        <f>LN(Price!C77/Price!C76)</f>
        <v>2.6032681649342023E-2</v>
      </c>
      <c r="D76" s="127">
        <f>LN(Price!D77/Price!D76)</f>
        <v>0.30743679670371299</v>
      </c>
      <c r="E76" s="127">
        <f>LN(Price!E77/Price!E76)</f>
        <v>-2.2829026512449935E-2</v>
      </c>
      <c r="F76" s="127">
        <f>LN(Price!F77/Price!F76)</f>
        <v>-7.3272783862172203E-2</v>
      </c>
      <c r="G76" s="127">
        <f>LN(Price!G77/Price!G76)</f>
        <v>8.4952872156369666E-2</v>
      </c>
      <c r="H76" s="127">
        <f>LN(Price!H77/Price!H76)</f>
        <v>7.6251753052208222E-3</v>
      </c>
      <c r="I76" s="127">
        <f>LN(Price!I77/Price!I76)</f>
        <v>5.6940883723955033E-3</v>
      </c>
      <c r="J76" s="127">
        <f>LN(Price!J77/Price!J76)</f>
        <v>5.3949845457942444E-2</v>
      </c>
      <c r="K76" s="127">
        <f>LN(Price!K77/Price!K76)</f>
        <v>-3.1217383073649265E-2</v>
      </c>
      <c r="L76" s="127">
        <f>LN(Price!L77/Price!L76)</f>
        <v>0.1451451373679539</v>
      </c>
      <c r="M76" s="127">
        <f>LN(Price!M77/Price!M76)</f>
        <v>-0.12841335595813974</v>
      </c>
      <c r="N76" s="127">
        <f>LN(Price!N77/Price!N76)</f>
        <v>1.9315789299291487E-2</v>
      </c>
      <c r="O76" s="127">
        <f>LN(Price!O77/Price!O76)</f>
        <v>-2.5863510589919352E-2</v>
      </c>
      <c r="P76" s="127">
        <f>LN(Price!P77/Price!P76)</f>
        <v>3.3439648205292348E-2</v>
      </c>
      <c r="Q76" s="127">
        <f>LN(Price!Q77/Price!Q76)</f>
        <v>-8.0461135228911143E-2</v>
      </c>
      <c r="R76" s="127">
        <f>LN(Price!R77/Price!R76)</f>
        <v>-1.9061897073282399E-2</v>
      </c>
      <c r="S76" s="127">
        <f>LN(Price!S77/Price!S76)</f>
        <v>-4.8933801055631276E-2</v>
      </c>
      <c r="T76" s="127">
        <f>LN(Price!T77/Price!T76)</f>
        <v>2.5419046712528776E-2</v>
      </c>
      <c r="U76" s="127">
        <f>LN(Price!U77/Price!U76)</f>
        <v>-0.10567296683987146</v>
      </c>
      <c r="V76" s="127">
        <f>LN(Price!V77/Price!V76)</f>
        <v>-6.6478297067895389E-2</v>
      </c>
      <c r="W76" s="127">
        <f>LN(Price!W77/Price!W76)</f>
        <v>-2.0741484306816469E-2</v>
      </c>
      <c r="X76" s="127">
        <f>LN(Price!X77/Price!X76)</f>
        <v>-3.7103750203377084E-2</v>
      </c>
      <c r="Y76" s="127">
        <f>LN(Price!Y77/Price!Y76)</f>
        <v>-1.3846973482270311E-2</v>
      </c>
      <c r="Z76" s="127">
        <f>LN(Price!Z77/Price!Z76)</f>
        <v>-4.6421836851249072E-2</v>
      </c>
      <c r="AA76" s="127">
        <f>LN(Price!AA77/Price!AA76)</f>
        <v>-6.5597282485813355E-2</v>
      </c>
      <c r="AB76" s="127">
        <f>LN(Price!AB77/Price!AB76)</f>
        <v>-0.13309802317028607</v>
      </c>
      <c r="AC76" s="127">
        <f>LN(Price!AC77/Price!AC76)</f>
        <v>-9.6047009016096752E-2</v>
      </c>
      <c r="AD76" s="127">
        <f>LN(Price!AD77/Price!AD76)</f>
        <v>0.16847406880861465</v>
      </c>
      <c r="AE76" s="127">
        <f>LN(Price!AE77/Price!AE76)</f>
        <v>-3.069294639940625E-2</v>
      </c>
      <c r="AF76" s="127">
        <f>LN(Price!AF77/Price!AF76)</f>
        <v>-2.1061008686656672E-2</v>
      </c>
      <c r="AG76" s="96"/>
    </row>
    <row r="77" spans="1:33" x14ac:dyDescent="0.3">
      <c r="A77" s="126">
        <v>44228</v>
      </c>
      <c r="B77" s="127">
        <f>LN(Price!B78/Price!B77)</f>
        <v>-5.0475521410260543E-2</v>
      </c>
      <c r="C77" s="127">
        <f>LN(Price!C78/Price!C77)</f>
        <v>0.100734644864915</v>
      </c>
      <c r="D77" s="127">
        <f>LN(Price!D78/Price!D77)</f>
        <v>-0.23065673466499298</v>
      </c>
      <c r="E77" s="127">
        <f>LN(Price!E78/Price!E77)</f>
        <v>-2.6492896251116355E-2</v>
      </c>
      <c r="F77" s="127">
        <f>LN(Price!F78/Price!F77)</f>
        <v>6.8778394274332938E-2</v>
      </c>
      <c r="G77" s="127">
        <f>LN(Price!G78/Price!G77)</f>
        <v>3.1259768932272077E-4</v>
      </c>
      <c r="H77" s="127">
        <f>LN(Price!H78/Price!H77)</f>
        <v>6.1072621730731934E-3</v>
      </c>
      <c r="I77" s="127">
        <f>LN(Price!I78/Price!I77)</f>
        <v>0.13092562616424941</v>
      </c>
      <c r="J77" s="127">
        <f>LN(Price!J78/Price!J77)</f>
        <v>8.3079722144305451E-2</v>
      </c>
      <c r="K77" s="127">
        <f>LN(Price!K78/Price!K77)</f>
        <v>2.1059360710855676E-2</v>
      </c>
      <c r="L77" s="127">
        <f>LN(Price!L78/Price!L77)</f>
        <v>5.7879229047594211E-2</v>
      </c>
      <c r="M77" s="127">
        <f>LN(Price!M78/Price!M77)</f>
        <v>9.7736103711092703E-2</v>
      </c>
      <c r="N77" s="127">
        <f>LN(Price!N78/Price!N77)</f>
        <v>0.14361085848852373</v>
      </c>
      <c r="O77" s="127">
        <f>LN(Price!O78/Price!O77)</f>
        <v>-3.1044621681960163E-2</v>
      </c>
      <c r="P77" s="127">
        <f>LN(Price!P78/Price!P77)</f>
        <v>4.6409279795125262E-2</v>
      </c>
      <c r="Q77" s="127">
        <f>LN(Price!Q78/Price!Q77)</f>
        <v>-4.4501224670510049E-2</v>
      </c>
      <c r="R77" s="127">
        <f>LN(Price!R78/Price!R77)</f>
        <v>-2.3141528561694148E-2</v>
      </c>
      <c r="S77" s="127">
        <f>LN(Price!S78/Price!S77)</f>
        <v>2.200349819291254E-2</v>
      </c>
      <c r="T77" s="127">
        <f>LN(Price!T78/Price!T77)</f>
        <v>-0.12351006371818714</v>
      </c>
      <c r="U77" s="127">
        <f>LN(Price!U78/Price!U77)</f>
        <v>2.570835671020703E-2</v>
      </c>
      <c r="V77" s="127">
        <f>LN(Price!V78/Price!V77)</f>
        <v>-4.8362173578691714E-2</v>
      </c>
      <c r="W77" s="127">
        <f>LN(Price!W78/Price!W77)</f>
        <v>-0.15235588425123509</v>
      </c>
      <c r="X77" s="127">
        <f>LN(Price!X78/Price!X77)</f>
        <v>-3.2598928482428471E-2</v>
      </c>
      <c r="Y77" s="127">
        <f>LN(Price!Y78/Price!Y77)</f>
        <v>5.9305913958846414E-2</v>
      </c>
      <c r="Z77" s="127">
        <f>LN(Price!Z78/Price!Z77)</f>
        <v>2.6850110730392739E-2</v>
      </c>
      <c r="AA77" s="127">
        <f>LN(Price!AA78/Price!AA77)</f>
        <v>-2.6719146733509645E-2</v>
      </c>
      <c r="AB77" s="127">
        <f>LN(Price!AB78/Price!AB77)</f>
        <v>8.5380105785306845E-2</v>
      </c>
      <c r="AC77" s="127">
        <f>LN(Price!AC78/Price!AC77)</f>
        <v>0.10306057552473064</v>
      </c>
      <c r="AD77" s="127">
        <f>LN(Price!AD78/Price!AD77)</f>
        <v>0.14953173397096384</v>
      </c>
      <c r="AE77" s="127">
        <f>LN(Price!AE78/Price!AE77)</f>
        <v>0.1122845411202547</v>
      </c>
      <c r="AF77" s="127">
        <f>LN(Price!AF78/Price!AF77)</f>
        <v>2.5969931701112281E-2</v>
      </c>
      <c r="AG77" s="96"/>
    </row>
    <row r="78" spans="1:33" ht="14.5" thickBot="1" x14ac:dyDescent="0.35">
      <c r="A78" s="128">
        <v>44256</v>
      </c>
      <c r="B78" s="127">
        <f>LN(Price!B79/Price!B78)</f>
        <v>0.1402357076333392</v>
      </c>
      <c r="C78" s="127">
        <f>LN(Price!C79/Price!C78)</f>
        <v>0.3213813149115875</v>
      </c>
      <c r="D78" s="127">
        <f>LN(Price!D79/Price!D78)</f>
        <v>0.10173403842865313</v>
      </c>
      <c r="E78" s="127">
        <f>LN(Price!E79/Price!E78)</f>
        <v>2.2860352346580851E-2</v>
      </c>
      <c r="F78" s="127">
        <f>LN(Price!F79/Price!F78)</f>
        <v>8.281087553114938E-2</v>
      </c>
      <c r="G78" s="127">
        <f>LN(Price!G79/Price!G78)</f>
        <v>8.9768420897990114E-2</v>
      </c>
      <c r="H78" s="127">
        <f>LN(Price!H79/Price!H78)</f>
        <v>0.12913792692918399</v>
      </c>
      <c r="I78" s="127">
        <f>LN(Price!I79/Price!I78)</f>
        <v>0.13742944571161758</v>
      </c>
      <c r="J78" s="127">
        <f>LN(Price!J79/Price!J78)</f>
        <v>4.4345970678655536E-3</v>
      </c>
      <c r="K78" s="127">
        <f>LN(Price!K79/Price!K78)</f>
        <v>0.21296606179533262</v>
      </c>
      <c r="L78" s="127">
        <f>LN(Price!L79/Price!L78)</f>
        <v>-1.458242329427005E-2</v>
      </c>
      <c r="M78" s="127">
        <f>LN(Price!M79/Price!M78)</f>
        <v>-8.183270151117833E-2</v>
      </c>
      <c r="N78" s="127">
        <f>LN(Price!N79/Price!N78)</f>
        <v>0.30906967557463066</v>
      </c>
      <c r="O78" s="127">
        <f>LN(Price!O79/Price!O78)</f>
        <v>-9.4409684471074645E-2</v>
      </c>
      <c r="P78" s="127">
        <f>LN(Price!P79/Price!P78)</f>
        <v>-1.1696039763191298E-2</v>
      </c>
      <c r="Q78" s="127">
        <f>LN(Price!Q79/Price!Q78)</f>
        <v>5.4605966008097702E-2</v>
      </c>
      <c r="R78" s="127">
        <f>LN(Price!R79/Price!R78)</f>
        <v>8.0299942401642913E-2</v>
      </c>
      <c r="S78" s="127">
        <f>LN(Price!S79/Price!S78)</f>
        <v>4.437157075196016E-2</v>
      </c>
      <c r="T78" s="127">
        <f>LN(Price!T79/Price!T78)</f>
        <v>6.4259286239373006E-2</v>
      </c>
      <c r="U78" s="127">
        <f>LN(Price!U79/Price!U78)</f>
        <v>1.8607527064303797E-2</v>
      </c>
      <c r="V78" s="127">
        <f>LN(Price!V79/Price!V78)</f>
        <v>2.1085501109068799E-2</v>
      </c>
      <c r="W78" s="127">
        <f>LN(Price!W79/Price!W78)</f>
        <v>8.9333179750787459E-2</v>
      </c>
      <c r="X78" s="127">
        <f>LN(Price!X79/Price!X78)</f>
        <v>0.16038647992769905</v>
      </c>
      <c r="Y78" s="127">
        <f>LN(Price!Y79/Price!Y78)</f>
        <v>4.4894599687820419E-2</v>
      </c>
      <c r="Z78" s="127">
        <f>LN(Price!Z79/Price!Z78)</f>
        <v>-5.3553382651005517E-2</v>
      </c>
      <c r="AA78" s="127">
        <f>LN(Price!AA79/Price!AA78)</f>
        <v>-4.7533700465739064E-2</v>
      </c>
      <c r="AB78" s="127">
        <f>LN(Price!AB79/Price!AB78)</f>
        <v>-5.1783956851544417E-2</v>
      </c>
      <c r="AC78" s="127">
        <f>LN(Price!AC79/Price!AC78)</f>
        <v>6.7100251324984345E-2</v>
      </c>
      <c r="AD78" s="127">
        <f>LN(Price!AD79/Price!AD78)</f>
        <v>2.0399820505925946E-2</v>
      </c>
      <c r="AE78" s="127">
        <f>LN(Price!AE79/Price!AE78)</f>
        <v>4.8154304424192128E-2</v>
      </c>
      <c r="AF78" s="127">
        <f>LN(Price!AF79/Price!AF78)</f>
        <v>8.4931426515815173E-2</v>
      </c>
      <c r="AG78" s="96"/>
    </row>
    <row r="79" spans="1:33" ht="14.5" thickBot="1" x14ac:dyDescent="0.35"/>
    <row r="80" spans="1:33" x14ac:dyDescent="0.3">
      <c r="A80" s="129" t="s">
        <v>63</v>
      </c>
      <c r="B80" s="130">
        <f>AVERAGE(B5:B78)</f>
        <v>-9.7228148501555828E-4</v>
      </c>
      <c r="C80" s="130">
        <f t="shared" ref="C80:AF80" si="0">AVERAGE(C5:C78)</f>
        <v>2.50010100186575E-3</v>
      </c>
      <c r="D80" s="130">
        <f t="shared" si="0"/>
        <v>4.0743109326464945E-2</v>
      </c>
      <c r="E80" s="130">
        <f t="shared" si="0"/>
        <v>7.9783098437083422E-3</v>
      </c>
      <c r="F80" s="130">
        <f t="shared" si="0"/>
        <v>5.3214208137620442E-3</v>
      </c>
      <c r="G80" s="130">
        <f t="shared" si="0"/>
        <v>6.9288135410347593E-3</v>
      </c>
      <c r="H80" s="130">
        <f t="shared" si="0"/>
        <v>6.5518805534664241E-3</v>
      </c>
      <c r="I80" s="130">
        <f t="shared" si="0"/>
        <v>-7.7221345639838133E-4</v>
      </c>
      <c r="J80" s="130">
        <f t="shared" si="0"/>
        <v>1.7396897908116257E-2</v>
      </c>
      <c r="K80" s="130">
        <f t="shared" si="0"/>
        <v>-2.1073168997166715E-3</v>
      </c>
      <c r="L80" s="130">
        <f t="shared" si="0"/>
        <v>3.4012698606636367E-2</v>
      </c>
      <c r="M80" s="130">
        <f t="shared" si="0"/>
        <v>1.9868434168737327E-2</v>
      </c>
      <c r="N80" s="130">
        <f t="shared" si="0"/>
        <v>2.6243704516471329E-3</v>
      </c>
      <c r="O80" s="130">
        <f t="shared" si="0"/>
        <v>3.4350656596959711E-2</v>
      </c>
      <c r="P80" s="130">
        <f t="shared" si="0"/>
        <v>3.3368444812851158E-2</v>
      </c>
      <c r="Q80" s="130">
        <f t="shared" si="0"/>
        <v>8.6763701650059127E-3</v>
      </c>
      <c r="R80" s="130">
        <f t="shared" si="0"/>
        <v>6.7143675275954376E-3</v>
      </c>
      <c r="S80" s="130">
        <f t="shared" si="0"/>
        <v>9.9157211126981865E-3</v>
      </c>
      <c r="T80" s="130">
        <f t="shared" si="0"/>
        <v>4.7818605397556514E-3</v>
      </c>
      <c r="U80" s="130">
        <f t="shared" si="0"/>
        <v>1.2239979045882679E-2</v>
      </c>
      <c r="V80" s="130">
        <f t="shared" si="0"/>
        <v>7.5572808797761629E-3</v>
      </c>
      <c r="W80" s="130">
        <f t="shared" si="0"/>
        <v>-6.1493094837483642E-4</v>
      </c>
      <c r="X80" s="130">
        <f t="shared" si="0"/>
        <v>-2.6173178187012709E-3</v>
      </c>
      <c r="Y80" s="130">
        <f t="shared" si="0"/>
        <v>-1.5585568749412599E-3</v>
      </c>
      <c r="Z80" s="130">
        <f t="shared" si="0"/>
        <v>-7.798403172385969E-3</v>
      </c>
      <c r="AA80" s="130">
        <f t="shared" si="0"/>
        <v>-7.519232637903564E-3</v>
      </c>
      <c r="AB80" s="130">
        <f t="shared" si="0"/>
        <v>2.1610757701367812E-2</v>
      </c>
      <c r="AC80" s="130">
        <f t="shared" si="0"/>
        <v>5.2997146708404106E-3</v>
      </c>
      <c r="AD80" s="130">
        <f t="shared" si="0"/>
        <v>-9.5495114311798957E-3</v>
      </c>
      <c r="AE80" s="130">
        <f t="shared" si="0"/>
        <v>3.9425184826952812E-3</v>
      </c>
      <c r="AF80" s="131">
        <f t="shared" si="0"/>
        <v>4.5796390160965511E-3</v>
      </c>
      <c r="AG80" s="96" t="str" cm="1">
        <f t="array" ref="AG80">getformula(AF80)</f>
        <v>=AVERAGE(AF5:AF78)</v>
      </c>
    </row>
    <row r="81" spans="1:33" x14ac:dyDescent="0.3">
      <c r="A81" s="132" t="s">
        <v>64</v>
      </c>
      <c r="B81" s="96">
        <f>VAR(B5:B78)</f>
        <v>2.4171584895452502E-3</v>
      </c>
      <c r="C81" s="96">
        <f t="shared" ref="C81:AF81" si="1">VAR(C5:C78)</f>
        <v>1.4495099160265814E-2</v>
      </c>
      <c r="D81" s="96">
        <f t="shared" si="1"/>
        <v>2.5821472367638845E-2</v>
      </c>
      <c r="E81" s="96">
        <f t="shared" si="1"/>
        <v>5.4198518975310589E-3</v>
      </c>
      <c r="F81" s="96">
        <f t="shared" si="1"/>
        <v>4.8813158737581108E-3</v>
      </c>
      <c r="G81" s="96">
        <f t="shared" si="1"/>
        <v>4.9621197449548245E-3</v>
      </c>
      <c r="H81" s="96">
        <f t="shared" si="1"/>
        <v>4.7671039173725407E-3</v>
      </c>
      <c r="I81" s="96">
        <f t="shared" si="1"/>
        <v>9.020046500004722E-3</v>
      </c>
      <c r="J81" s="96">
        <f t="shared" si="1"/>
        <v>8.9095290724769873E-3</v>
      </c>
      <c r="K81" s="96">
        <f t="shared" si="1"/>
        <v>7.5997002586492245E-3</v>
      </c>
      <c r="L81" s="96">
        <f t="shared" si="1"/>
        <v>6.8071706223236323E-3</v>
      </c>
      <c r="M81" s="96">
        <f t="shared" si="1"/>
        <v>5.5403235477444355E-3</v>
      </c>
      <c r="N81" s="96">
        <f t="shared" si="1"/>
        <v>1.3239817835991197E-2</v>
      </c>
      <c r="O81" s="96">
        <f t="shared" si="1"/>
        <v>9.5449097792667924E-3</v>
      </c>
      <c r="P81" s="96">
        <f t="shared" si="1"/>
        <v>1.8165350207832186E-2</v>
      </c>
      <c r="Q81" s="96">
        <f t="shared" si="1"/>
        <v>3.1663608432768889E-3</v>
      </c>
      <c r="R81" s="96">
        <f t="shared" si="1"/>
        <v>3.9383684013586419E-3</v>
      </c>
      <c r="S81" s="96">
        <f t="shared" si="1"/>
        <v>2.9217116030641217E-3</v>
      </c>
      <c r="T81" s="96">
        <f t="shared" si="1"/>
        <v>1.2888134866958504E-2</v>
      </c>
      <c r="U81" s="96">
        <f t="shared" si="1"/>
        <v>9.4303389923153166E-3</v>
      </c>
      <c r="V81" s="96">
        <f t="shared" si="1"/>
        <v>3.6183920007446728E-3</v>
      </c>
      <c r="W81" s="96">
        <f t="shared" si="1"/>
        <v>5.3473114548986764E-3</v>
      </c>
      <c r="X81" s="96">
        <f t="shared" si="1"/>
        <v>5.5802055211083114E-3</v>
      </c>
      <c r="Y81" s="96">
        <f t="shared" si="1"/>
        <v>5.7848069594524792E-3</v>
      </c>
      <c r="Z81" s="96">
        <f t="shared" si="1"/>
        <v>8.845875820474091E-3</v>
      </c>
      <c r="AA81" s="96">
        <f t="shared" si="1"/>
        <v>2.2541525873213397E-2</v>
      </c>
      <c r="AB81" s="96">
        <f t="shared" si="1"/>
        <v>7.296046011087594E-3</v>
      </c>
      <c r="AC81" s="96">
        <f t="shared" si="1"/>
        <v>4.1593914991968966E-3</v>
      </c>
      <c r="AD81" s="96">
        <f t="shared" si="1"/>
        <v>1.9090064164384024E-2</v>
      </c>
      <c r="AE81" s="96">
        <f t="shared" si="1"/>
        <v>4.2711793497885418E-3</v>
      </c>
      <c r="AF81" s="133">
        <f t="shared" si="1"/>
        <v>2.9097545379246884E-3</v>
      </c>
      <c r="AG81" s="96" t="str" cm="1">
        <f t="array" ref="AG81">getformula(AF81)</f>
        <v>=VAR(AF5:AF78)</v>
      </c>
    </row>
    <row r="82" spans="1:33" x14ac:dyDescent="0.3">
      <c r="A82" s="132" t="s">
        <v>65</v>
      </c>
      <c r="B82" s="96">
        <f>STDEV(B5:B78)</f>
        <v>4.9164606065189319E-2</v>
      </c>
      <c r="C82" s="96">
        <f t="shared" ref="C82:AF82" si="2">STDEV(C5:C78)</f>
        <v>0.12039559443877428</v>
      </c>
      <c r="D82" s="96">
        <f t="shared" si="2"/>
        <v>0.16069061070155544</v>
      </c>
      <c r="E82" s="96">
        <f t="shared" si="2"/>
        <v>7.3619643421651115E-2</v>
      </c>
      <c r="F82" s="96">
        <f t="shared" si="2"/>
        <v>6.9866414490498296E-2</v>
      </c>
      <c r="G82" s="96">
        <f t="shared" si="2"/>
        <v>7.0442315017003987E-2</v>
      </c>
      <c r="H82" s="96">
        <f t="shared" si="2"/>
        <v>6.9044217117529408E-2</v>
      </c>
      <c r="I82" s="96">
        <f t="shared" si="2"/>
        <v>9.4973925369043907E-2</v>
      </c>
      <c r="J82" s="96">
        <f t="shared" si="2"/>
        <v>9.4390301792488127E-2</v>
      </c>
      <c r="K82" s="96">
        <f t="shared" si="2"/>
        <v>8.7176259719313628E-2</v>
      </c>
      <c r="L82" s="96">
        <f t="shared" si="2"/>
        <v>8.2505579340573273E-2</v>
      </c>
      <c r="M82" s="96">
        <f t="shared" si="2"/>
        <v>7.4433349701222201E-2</v>
      </c>
      <c r="N82" s="96">
        <f t="shared" si="2"/>
        <v>0.11506440733776539</v>
      </c>
      <c r="O82" s="96">
        <f t="shared" si="2"/>
        <v>9.7698054122212649E-2</v>
      </c>
      <c r="P82" s="96">
        <f t="shared" si="2"/>
        <v>0.13477889377729804</v>
      </c>
      <c r="Q82" s="96">
        <f t="shared" si="2"/>
        <v>5.6270426009378045E-2</v>
      </c>
      <c r="R82" s="96">
        <f t="shared" si="2"/>
        <v>6.2756421196230122E-2</v>
      </c>
      <c r="S82" s="96">
        <f t="shared" si="2"/>
        <v>5.4052859342167289E-2</v>
      </c>
      <c r="T82" s="96">
        <f t="shared" si="2"/>
        <v>0.11352592156401332</v>
      </c>
      <c r="U82" s="96">
        <f>STDEV(U5:U78)</f>
        <v>9.7109932511125333E-2</v>
      </c>
      <c r="V82" s="96">
        <f t="shared" si="2"/>
        <v>6.0153071415719683E-2</v>
      </c>
      <c r="W82" s="96">
        <f t="shared" si="2"/>
        <v>7.3125313366157116E-2</v>
      </c>
      <c r="X82" s="96">
        <f t="shared" si="2"/>
        <v>7.4700773229654807E-2</v>
      </c>
      <c r="Y82" s="96">
        <f t="shared" si="2"/>
        <v>7.6057918453323978E-2</v>
      </c>
      <c r="Z82" s="96">
        <f t="shared" si="2"/>
        <v>9.4052516289964777E-2</v>
      </c>
      <c r="AA82" s="96">
        <f t="shared" si="2"/>
        <v>0.15013835576964801</v>
      </c>
      <c r="AB82" s="96">
        <f t="shared" si="2"/>
        <v>8.5416895349149716E-2</v>
      </c>
      <c r="AC82" s="96">
        <f t="shared" si="2"/>
        <v>6.4493344611648851E-2</v>
      </c>
      <c r="AD82" s="96">
        <f t="shared" si="2"/>
        <v>0.13816679834310422</v>
      </c>
      <c r="AE82" s="96">
        <f t="shared" si="2"/>
        <v>6.5354260379783521E-2</v>
      </c>
      <c r="AF82" s="133">
        <f t="shared" si="2"/>
        <v>5.3942140650188222E-2</v>
      </c>
      <c r="AG82" s="96" t="str" cm="1">
        <f t="array" ref="AG82">getformula(AF82)</f>
        <v>=STDEV(AF5:AF78)</v>
      </c>
    </row>
    <row r="83" spans="1:33" ht="14.5" thickBot="1" x14ac:dyDescent="0.35">
      <c r="A83" s="134" t="s">
        <v>66</v>
      </c>
      <c r="B83" s="135">
        <f>SLOPE(B5:B78,$AF$5:$AF$78)</f>
        <v>0.5727643208627835</v>
      </c>
      <c r="C83" s="135">
        <f t="shared" ref="C83:AF83" si="3">SLOPE(C5:C78,$AF$5:$AF$78)</f>
        <v>1.5917360522604622</v>
      </c>
      <c r="D83" s="135">
        <f t="shared" si="3"/>
        <v>0.84077501857399894</v>
      </c>
      <c r="E83" s="135">
        <f t="shared" si="3"/>
        <v>0.99289047889994719</v>
      </c>
      <c r="F83" s="135">
        <f t="shared" si="3"/>
        <v>1.069066201727964</v>
      </c>
      <c r="G83" s="135">
        <f t="shared" si="3"/>
        <v>1.1007073661086531</v>
      </c>
      <c r="H83" s="135">
        <f t="shared" si="3"/>
        <v>0.920365899223757</v>
      </c>
      <c r="I83" s="135">
        <f t="shared" si="3"/>
        <v>1.5073615726662966</v>
      </c>
      <c r="J83" s="135">
        <f t="shared" si="3"/>
        <v>1.2725012071004069</v>
      </c>
      <c r="K83" s="135">
        <f t="shared" si="3"/>
        <v>1.3237998184280058</v>
      </c>
      <c r="L83" s="135">
        <f t="shared" si="3"/>
        <v>0.17472645151380256</v>
      </c>
      <c r="M83" s="135">
        <f t="shared" si="3"/>
        <v>0.66459106835178716</v>
      </c>
      <c r="N83" s="135">
        <f t="shared" si="3"/>
        <v>1.6026395059337688</v>
      </c>
      <c r="O83" s="135">
        <f t="shared" si="3"/>
        <v>0.67721532190091371</v>
      </c>
      <c r="P83" s="135">
        <f t="shared" si="3"/>
        <v>1.7214996160750407</v>
      </c>
      <c r="Q83" s="135">
        <f t="shared" si="3"/>
        <v>0.38431009814845479</v>
      </c>
      <c r="R83" s="135">
        <f t="shared" si="3"/>
        <v>0.67064614382601229</v>
      </c>
      <c r="S83" s="135">
        <f t="shared" si="3"/>
        <v>0.5972675661464607</v>
      </c>
      <c r="T83" s="135">
        <f t="shared" si="3"/>
        <v>0.79392380241594962</v>
      </c>
      <c r="U83" s="135">
        <f t="shared" si="3"/>
        <v>1.2718585167782637</v>
      </c>
      <c r="V83" s="135">
        <f t="shared" si="3"/>
        <v>0.20964334475993945</v>
      </c>
      <c r="W83" s="135">
        <f t="shared" si="3"/>
        <v>0.82550313013270238</v>
      </c>
      <c r="X83" s="135">
        <f>SLOPE(X5:X78,$AF$5:$AF$78)</f>
        <v>0.61175928801844071</v>
      </c>
      <c r="Y83" s="135">
        <f t="shared" si="3"/>
        <v>1.2161942695850836</v>
      </c>
      <c r="Z83" s="135">
        <f t="shared" si="3"/>
        <v>1.3506854390910561</v>
      </c>
      <c r="AA83" s="135">
        <f t="shared" si="3"/>
        <v>1.9859547130383701</v>
      </c>
      <c r="AB83" s="135">
        <f t="shared" si="3"/>
        <v>0.55291642018318832</v>
      </c>
      <c r="AC83" s="135">
        <f t="shared" si="3"/>
        <v>0.89845835363597448</v>
      </c>
      <c r="AD83" s="135">
        <f t="shared" si="3"/>
        <v>1.7919674674118251</v>
      </c>
      <c r="AE83" s="135">
        <f t="shared" si="3"/>
        <v>0.89341069721917443</v>
      </c>
      <c r="AF83" s="136">
        <f t="shared" si="3"/>
        <v>1</v>
      </c>
      <c r="AG83" s="96" t="str" cm="1">
        <f t="array" ref="AG83">getformula(AF83)</f>
        <v>=SLOPE(AF5:AF78,$AF$5:$AF$78)</v>
      </c>
    </row>
    <row r="85" spans="1:33" ht="23" x14ac:dyDescent="0.5">
      <c r="A85" s="142" t="s">
        <v>143</v>
      </c>
      <c r="B85" s="142"/>
      <c r="C85" s="142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</row>
    <row r="86" spans="1:33" ht="21.5" thickBot="1" x14ac:dyDescent="0.35">
      <c r="A86" s="108" t="s">
        <v>9</v>
      </c>
      <c r="B86" s="109" t="s">
        <v>41</v>
      </c>
      <c r="C86" s="109" t="s">
        <v>42</v>
      </c>
      <c r="D86" s="109" t="s">
        <v>10</v>
      </c>
      <c r="E86" s="109" t="s">
        <v>43</v>
      </c>
      <c r="F86" s="110" t="s">
        <v>44</v>
      </c>
      <c r="G86" s="109" t="s">
        <v>45</v>
      </c>
      <c r="H86" s="110" t="s">
        <v>46</v>
      </c>
      <c r="I86" s="110" t="s">
        <v>47</v>
      </c>
      <c r="J86" s="109" t="s">
        <v>12</v>
      </c>
      <c r="K86" s="109" t="s">
        <v>48</v>
      </c>
      <c r="L86" s="109" t="s">
        <v>11</v>
      </c>
      <c r="M86" s="110" t="s">
        <v>13</v>
      </c>
      <c r="N86" s="110" t="s">
        <v>49</v>
      </c>
      <c r="O86" s="109" t="s">
        <v>14</v>
      </c>
      <c r="P86" s="110" t="s">
        <v>17</v>
      </c>
      <c r="Q86" s="109" t="s">
        <v>50</v>
      </c>
      <c r="R86" s="109" t="s">
        <v>51</v>
      </c>
      <c r="S86" s="109" t="s">
        <v>52</v>
      </c>
      <c r="T86" s="110" t="s">
        <v>53</v>
      </c>
      <c r="U86" s="109" t="s">
        <v>15</v>
      </c>
      <c r="V86" s="110" t="s">
        <v>54</v>
      </c>
      <c r="W86" s="110" t="s">
        <v>55</v>
      </c>
      <c r="X86" s="110" t="s">
        <v>56</v>
      </c>
      <c r="Y86" s="110" t="s">
        <v>57</v>
      </c>
      <c r="Z86" s="110" t="s">
        <v>58</v>
      </c>
      <c r="AA86" s="110" t="s">
        <v>59</v>
      </c>
      <c r="AB86" s="110" t="s">
        <v>16</v>
      </c>
      <c r="AC86" s="110" t="s">
        <v>60</v>
      </c>
      <c r="AD86" s="110" t="s">
        <v>61</v>
      </c>
      <c r="AE86" s="111" t="s">
        <v>62</v>
      </c>
      <c r="AF86" s="108" t="s">
        <v>18</v>
      </c>
    </row>
    <row r="87" spans="1:33" x14ac:dyDescent="0.3">
      <c r="A87" s="126">
        <v>42036</v>
      </c>
      <c r="B87" s="127">
        <f>B5-$B$80</f>
        <v>3.626496793051498E-2</v>
      </c>
      <c r="C87" s="127">
        <f>C5-$C$80</f>
        <v>0.126039022415117</v>
      </c>
      <c r="D87" s="127">
        <f>D5-$D$80</f>
        <v>4.9503768521313087E-2</v>
      </c>
      <c r="E87" s="127">
        <f>E5-$E$80</f>
        <v>7.4587203995723106E-2</v>
      </c>
      <c r="F87" s="127">
        <f>F5-$F$80</f>
        <v>1.6301043199403665E-2</v>
      </c>
      <c r="G87" s="127">
        <f>G5-$G$80</f>
        <v>6.3748389299259342E-2</v>
      </c>
      <c r="H87" s="127">
        <f>H5-$H$80</f>
        <v>4.9543905791956673E-2</v>
      </c>
      <c r="I87" s="127">
        <f>I5-$I$80</f>
        <v>7.3023521297252258E-2</v>
      </c>
      <c r="J87" s="127">
        <f>J5-$J$80</f>
        <v>1.9006531479889094E-2</v>
      </c>
      <c r="K87" s="127">
        <f>K5-$K$80</f>
        <v>9.0890173537728353E-2</v>
      </c>
      <c r="L87" s="127">
        <f>L5-$L$80</f>
        <v>9.610018694157374E-2</v>
      </c>
      <c r="M87" s="127">
        <f>M5-$M$80</f>
        <v>0.10646683912199564</v>
      </c>
      <c r="N87" s="127">
        <f>N5-$N$80</f>
        <v>0.10293757536095444</v>
      </c>
      <c r="O87" s="127">
        <f>O5-$O$80</f>
        <v>5.716335999926242E-3</v>
      </c>
      <c r="P87" s="127">
        <f>P5-$P$80</f>
        <v>-5.4436639801538761E-2</v>
      </c>
      <c r="Q87" s="127">
        <f>Q5-$Q$80</f>
        <v>0.10382339050229107</v>
      </c>
      <c r="R87" s="127">
        <f>R5-$R$80</f>
        <v>3.1873140502457258E-2</v>
      </c>
      <c r="S87" s="127">
        <f>S5-$S$80</f>
        <v>5.9224133544944935E-2</v>
      </c>
      <c r="T87" s="127">
        <f>T5-$T$80</f>
        <v>1.0446860162069031E-2</v>
      </c>
      <c r="U87" s="127">
        <f>U5-$U$80</f>
        <v>3.412314923380929E-2</v>
      </c>
      <c r="V87" s="127">
        <f>V5-$V$80</f>
        <v>5.9205019125865781E-2</v>
      </c>
      <c r="W87" s="127">
        <f>W5-$W$80</f>
        <v>0.10921516562242325</v>
      </c>
      <c r="X87" s="127">
        <f>X5-$X$80</f>
        <v>5.3619872271074065E-2</v>
      </c>
      <c r="Y87" s="127">
        <f>Y5-$Y$80</f>
        <v>7.6070759984784048E-2</v>
      </c>
      <c r="Z87" s="127">
        <f>Z5-$Z$80</f>
        <v>6.8686772847398575E-2</v>
      </c>
      <c r="AA87" s="127">
        <f>AA5-$AA$80</f>
        <v>9.8592117966713202E-2</v>
      </c>
      <c r="AB87" s="127">
        <f>AB5-$AB$80</f>
        <v>1.2306452894084753E-3</v>
      </c>
      <c r="AC87" s="127">
        <f>AC5-$AC$80</f>
        <v>3.6286891846096563E-2</v>
      </c>
      <c r="AD87" s="127">
        <f>AD5-$AD$80</f>
        <v>3.9415212379642267E-2</v>
      </c>
      <c r="AE87" s="127">
        <f>AE5-$AE$80</f>
        <v>5.6398943706053875E-2</v>
      </c>
      <c r="AF87" s="127">
        <f>AF5-$AF$80</f>
        <v>5.946656041841146E-2</v>
      </c>
      <c r="AG87" t="str" cm="1">
        <f t="array" ref="AG87">getformula(AF87)</f>
        <v>=AF5-$AF$80</v>
      </c>
    </row>
    <row r="88" spans="1:33" x14ac:dyDescent="0.3">
      <c r="A88" s="126">
        <v>42064</v>
      </c>
      <c r="B88" s="127">
        <f t="shared" ref="B88:B151" si="4">B6-$B$80</f>
        <v>2.3792557744072716E-2</v>
      </c>
      <c r="C88" s="127">
        <f t="shared" ref="C88:C151" si="5">C6-$C$80</f>
        <v>9.2003464521984116E-2</v>
      </c>
      <c r="D88" s="127">
        <f t="shared" ref="D88:D151" si="6">D6-$D$80</f>
        <v>-5.6088679001125366E-2</v>
      </c>
      <c r="E88" s="127">
        <f t="shared" ref="E88:E151" si="7">E6-$E$80</f>
        <v>6.4001820355621714E-2</v>
      </c>
      <c r="F88" s="127">
        <f t="shared" ref="F88:F151" si="8">F6-$F$80</f>
        <v>7.3383494018114365E-2</v>
      </c>
      <c r="G88" s="127">
        <f t="shared" ref="G88:G151" si="9">G6-$G$80</f>
        <v>1.9227600742586018E-3</v>
      </c>
      <c r="H88" s="127">
        <f t="shared" ref="H88:H151" si="10">H6-$H$80</f>
        <v>-5.1242670284899185E-2</v>
      </c>
      <c r="I88" s="127">
        <f t="shared" ref="I88:I151" si="11">I6-$I$80</f>
        <v>3.7317360574081852E-2</v>
      </c>
      <c r="J88" s="127">
        <f t="shared" ref="J88:J151" si="12">J6-$J$80</f>
        <v>5.526074766795927E-2</v>
      </c>
      <c r="K88" s="127">
        <f t="shared" ref="K88:K151" si="13">K6-$K$80</f>
        <v>3.2181494517726165E-2</v>
      </c>
      <c r="L88" s="127">
        <f t="shared" ref="L88:L151" si="14">L6-$L$80</f>
        <v>-3.3705431742949973E-2</v>
      </c>
      <c r="M88" s="127">
        <f t="shared" ref="M88:M151" si="15">M6-$M$80</f>
        <v>3.9679619844988391E-2</v>
      </c>
      <c r="N88" s="127">
        <f t="shared" ref="N88:N151" si="16">N6-$N$80</f>
        <v>9.7562664959453677E-2</v>
      </c>
      <c r="O88" s="127">
        <f t="shared" ref="O88:O151" si="17">O6-$O$80</f>
        <v>-2.8326541993578834E-2</v>
      </c>
      <c r="P88" s="127">
        <f t="shared" ref="P88:P151" si="18">P6-$P$80</f>
        <v>-2.770671702085091E-2</v>
      </c>
      <c r="Q88" s="127">
        <f t="shared" ref="Q88:Q151" si="19">Q6-$Q$80</f>
        <v>-0.10191552529048738</v>
      </c>
      <c r="R88" s="127">
        <f t="shared" ref="R88:R151" si="20">R6-$R$80</f>
        <v>0.11899092778449885</v>
      </c>
      <c r="S88" s="127">
        <f t="shared" ref="S88:S151" si="21">S6-$S$80</f>
        <v>3.2518142372802997E-2</v>
      </c>
      <c r="T88" s="127">
        <f t="shared" ref="T88:T151" si="22">T6-$T$80</f>
        <v>-5.4264959947471984E-2</v>
      </c>
      <c r="U88" s="127">
        <f t="shared" ref="U88:U151" si="23">U6-$U$80</f>
        <v>5.9713907929046496E-2</v>
      </c>
      <c r="V88" s="127">
        <f t="shared" ref="V88:V151" si="24">V6-$V$80</f>
        <v>-4.0168866468536943E-2</v>
      </c>
      <c r="W88" s="127">
        <f t="shared" ref="W88:W151" si="25">W6-$W$80</f>
        <v>5.759110413904224E-2</v>
      </c>
      <c r="X88" s="127">
        <f t="shared" ref="X88:X151" si="26">X6-$X$80</f>
        <v>-3.6824414232595457E-2</v>
      </c>
      <c r="Y88" s="127">
        <f t="shared" ref="Y88:Y151" si="27">Y6-$Y$80</f>
        <v>7.9038371124318801E-2</v>
      </c>
      <c r="Z88" s="127">
        <f t="shared" ref="Z88:Z151" si="28">Z6-$Z$80</f>
        <v>4.0089031503378517E-2</v>
      </c>
      <c r="AA88" s="127">
        <f t="shared" ref="AA88:AA151" si="29">AA6-$AA$80</f>
        <v>6.125116471811453E-2</v>
      </c>
      <c r="AB88" s="127">
        <f t="shared" ref="AB88:AB151" si="30">AB6-$AB$80</f>
        <v>-2.1610757701367812E-2</v>
      </c>
      <c r="AC88" s="127">
        <f t="shared" ref="AC88:AC151" si="31">AC6-$AC$80</f>
        <v>7.625665251102462E-2</v>
      </c>
      <c r="AD88" s="127">
        <f t="shared" ref="AD88:AD151" si="32">AD6-$AD$80</f>
        <v>3.6505321419708192E-2</v>
      </c>
      <c r="AE88" s="127">
        <f t="shared" ref="AE88:AE151" si="33">AE6-$AE$80</f>
        <v>1.4019967923680904E-2</v>
      </c>
      <c r="AF88" s="127">
        <f t="shared" ref="AF88:AF151" si="34">AF6-$AF$80</f>
        <v>4.3744903935588809E-2</v>
      </c>
    </row>
    <row r="89" spans="1:33" x14ac:dyDescent="0.3">
      <c r="A89" s="126">
        <v>42095</v>
      </c>
      <c r="B89" s="127">
        <f t="shared" si="4"/>
        <v>-5.890532268330468E-2</v>
      </c>
      <c r="C89" s="127">
        <f t="shared" si="5"/>
        <v>-7.0959957991169192E-2</v>
      </c>
      <c r="D89" s="127">
        <f t="shared" si="6"/>
        <v>8.0470461426707746E-2</v>
      </c>
      <c r="E89" s="127">
        <f t="shared" si="7"/>
        <v>-2.0724902272482503E-3</v>
      </c>
      <c r="F89" s="127">
        <f t="shared" si="8"/>
        <v>-6.4171282335658747E-2</v>
      </c>
      <c r="G89" s="127">
        <f t="shared" si="9"/>
        <v>-3.9168005878222945E-2</v>
      </c>
      <c r="H89" s="127">
        <f t="shared" si="10"/>
        <v>9.1320413490877141E-3</v>
      </c>
      <c r="I89" s="127">
        <f t="shared" si="11"/>
        <v>-3.7855785606136678E-2</v>
      </c>
      <c r="J89" s="127">
        <f t="shared" si="12"/>
        <v>-6.8075636765416475E-2</v>
      </c>
      <c r="K89" s="127">
        <f t="shared" si="13"/>
        <v>-9.097263381069591E-2</v>
      </c>
      <c r="L89" s="127">
        <f t="shared" si="14"/>
        <v>0.10888331094892909</v>
      </c>
      <c r="M89" s="127">
        <f t="shared" si="15"/>
        <v>-2.3539160878956938E-2</v>
      </c>
      <c r="N89" s="127">
        <f t="shared" si="16"/>
        <v>-7.2460965622286891E-2</v>
      </c>
      <c r="O89" s="127">
        <f t="shared" si="17"/>
        <v>-2.8362614752337017E-2</v>
      </c>
      <c r="P89" s="127">
        <f t="shared" si="18"/>
        <v>-6.5640876217701011E-2</v>
      </c>
      <c r="Q89" s="127">
        <f t="shared" si="19"/>
        <v>-5.2109423367603554E-2</v>
      </c>
      <c r="R89" s="127">
        <f t="shared" si="20"/>
        <v>-8.3836110241240672E-2</v>
      </c>
      <c r="S89" s="127">
        <f t="shared" si="21"/>
        <v>-3.3192691443433911E-2</v>
      </c>
      <c r="T89" s="127">
        <f t="shared" si="22"/>
        <v>-6.9467429688767499E-2</v>
      </c>
      <c r="U89" s="127">
        <f t="shared" si="23"/>
        <v>-4.8477847890109366E-2</v>
      </c>
      <c r="V89" s="127">
        <f t="shared" si="24"/>
        <v>-2.3838703086804303E-2</v>
      </c>
      <c r="W89" s="127">
        <f t="shared" si="25"/>
        <v>-2.8596655566100943E-2</v>
      </c>
      <c r="X89" s="127">
        <f t="shared" si="26"/>
        <v>8.3479925276863445E-3</v>
      </c>
      <c r="Y89" s="127">
        <f t="shared" si="27"/>
        <v>-3.2175345522636289E-2</v>
      </c>
      <c r="Z89" s="127">
        <f t="shared" si="28"/>
        <v>-3.6993862210885971E-2</v>
      </c>
      <c r="AA89" s="127">
        <f t="shared" si="29"/>
        <v>3.1377223091797517E-2</v>
      </c>
      <c r="AB89" s="127">
        <f t="shared" si="30"/>
        <v>2.9740438889377663E-2</v>
      </c>
      <c r="AC89" s="127">
        <f t="shared" si="31"/>
        <v>-0.13561117784825508</v>
      </c>
      <c r="AD89" s="127">
        <f t="shared" si="32"/>
        <v>-1.4468206202444664E-2</v>
      </c>
      <c r="AE89" s="127">
        <f t="shared" si="33"/>
        <v>-2.9954042220638546E-2</v>
      </c>
      <c r="AF89" s="127">
        <f t="shared" si="34"/>
        <v>-4.8290951198283839E-2</v>
      </c>
    </row>
    <row r="90" spans="1:33" x14ac:dyDescent="0.3">
      <c r="A90" s="126">
        <v>42125</v>
      </c>
      <c r="B90" s="127">
        <f t="shared" si="4"/>
        <v>3.0984319791550724E-2</v>
      </c>
      <c r="C90" s="127">
        <f t="shared" si="5"/>
        <v>-4.8701266961392396E-2</v>
      </c>
      <c r="D90" s="127">
        <f t="shared" si="6"/>
        <v>0.32592737444394643</v>
      </c>
      <c r="E90" s="127">
        <f t="shared" si="7"/>
        <v>-1.5959434088793363E-2</v>
      </c>
      <c r="F90" s="127">
        <f t="shared" si="8"/>
        <v>-7.2046691127999024E-2</v>
      </c>
      <c r="G90" s="127">
        <f t="shared" si="9"/>
        <v>-2.4835628104834619E-2</v>
      </c>
      <c r="H90" s="127">
        <f t="shared" si="10"/>
        <v>-8.0607808677927828E-2</v>
      </c>
      <c r="I90" s="127">
        <f t="shared" si="11"/>
        <v>-1.1464988373498481E-2</v>
      </c>
      <c r="J90" s="127">
        <f t="shared" si="12"/>
        <v>9.7651884283307039E-2</v>
      </c>
      <c r="K90" s="127">
        <f t="shared" si="13"/>
        <v>-5.0128928995704085E-2</v>
      </c>
      <c r="L90" s="127">
        <f t="shared" si="14"/>
        <v>3.9886006835899414E-2</v>
      </c>
      <c r="M90" s="127">
        <f t="shared" si="15"/>
        <v>-4.594787011713309E-2</v>
      </c>
      <c r="N90" s="127">
        <f t="shared" si="16"/>
        <v>-6.1535923480152563E-2</v>
      </c>
      <c r="O90" s="127">
        <f t="shared" si="17"/>
        <v>5.4152144979340067E-2</v>
      </c>
      <c r="P90" s="127">
        <f t="shared" si="18"/>
        <v>-0.10277789618501888</v>
      </c>
      <c r="Q90" s="127">
        <f t="shared" si="19"/>
        <v>-5.2254693952037953E-2</v>
      </c>
      <c r="R90" s="127">
        <f t="shared" si="20"/>
        <v>-7.3989569792793503E-4</v>
      </c>
      <c r="S90" s="127">
        <f t="shared" si="21"/>
        <v>-2.8661176285934346E-2</v>
      </c>
      <c r="T90" s="127">
        <f t="shared" si="22"/>
        <v>-5.1996795446272885E-2</v>
      </c>
      <c r="U90" s="127">
        <f t="shared" si="23"/>
        <v>-2.6074304756574886E-2</v>
      </c>
      <c r="V90" s="127">
        <f t="shared" si="24"/>
        <v>-5.0361079489798177E-2</v>
      </c>
      <c r="W90" s="127">
        <f t="shared" si="25"/>
        <v>3.3949172103845904E-2</v>
      </c>
      <c r="X90" s="127">
        <f t="shared" si="26"/>
        <v>-4.0758956506650582E-2</v>
      </c>
      <c r="Y90" s="127">
        <f t="shared" si="27"/>
        <v>-5.9261658498706536E-2</v>
      </c>
      <c r="Z90" s="127">
        <f t="shared" si="28"/>
        <v>5.8977136004178237E-3</v>
      </c>
      <c r="AA90" s="127">
        <f t="shared" si="29"/>
        <v>-1.63387578159905E-2</v>
      </c>
      <c r="AB90" s="127">
        <f t="shared" si="30"/>
        <v>-0.24228211987018844</v>
      </c>
      <c r="AC90" s="127">
        <f t="shared" si="31"/>
        <v>-3.6542367373884339E-2</v>
      </c>
      <c r="AD90" s="127">
        <f t="shared" si="32"/>
        <v>2.0387466620394652E-2</v>
      </c>
      <c r="AE90" s="127">
        <f t="shared" si="33"/>
        <v>-4.4091279848598119E-2</v>
      </c>
      <c r="AF90" s="127">
        <f t="shared" si="34"/>
        <v>-8.1269267371568785E-3</v>
      </c>
    </row>
    <row r="91" spans="1:33" x14ac:dyDescent="0.3">
      <c r="A91" s="126">
        <v>42156</v>
      </c>
      <c r="B91" s="127">
        <f t="shared" si="4"/>
        <v>-8.698417846457368E-2</v>
      </c>
      <c r="C91" s="127">
        <f t="shared" si="5"/>
        <v>-6.3124722818300602E-2</v>
      </c>
      <c r="D91" s="127">
        <f t="shared" si="6"/>
        <v>1.4655670063323224E-2</v>
      </c>
      <c r="E91" s="127">
        <f t="shared" si="7"/>
        <v>-8.1709670695781139E-2</v>
      </c>
      <c r="F91" s="127">
        <f t="shared" si="8"/>
        <v>-2.6919003086965591E-2</v>
      </c>
      <c r="G91" s="127">
        <f t="shared" si="9"/>
        <v>-6.5232468620312026E-2</v>
      </c>
      <c r="H91" s="127">
        <f t="shared" si="10"/>
        <v>-5.2777031173691057E-2</v>
      </c>
      <c r="I91" s="127">
        <f t="shared" si="11"/>
        <v>-4.284840901949203E-2</v>
      </c>
      <c r="J91" s="127">
        <f t="shared" si="12"/>
        <v>-8.1766941242239363E-2</v>
      </c>
      <c r="K91" s="127">
        <f t="shared" si="13"/>
        <v>-2.3235954194893507E-2</v>
      </c>
      <c r="L91" s="127">
        <f t="shared" si="14"/>
        <v>-5.2233594566171104E-2</v>
      </c>
      <c r="M91" s="127">
        <f t="shared" si="15"/>
        <v>-6.0964244075049613E-2</v>
      </c>
      <c r="N91" s="127">
        <f t="shared" si="16"/>
        <v>-6.4827892888146721E-2</v>
      </c>
      <c r="O91" s="127">
        <f t="shared" si="17"/>
        <v>3.4277849792136439E-2</v>
      </c>
      <c r="P91" s="127">
        <f t="shared" si="18"/>
        <v>-0.166007378654354</v>
      </c>
      <c r="Q91" s="127">
        <f t="shared" si="19"/>
        <v>-8.8049957706518106E-2</v>
      </c>
      <c r="R91" s="127">
        <f t="shared" si="20"/>
        <v>-9.233557901295493E-2</v>
      </c>
      <c r="S91" s="127">
        <f t="shared" si="21"/>
        <v>8.0219795739690652E-3</v>
      </c>
      <c r="T91" s="127">
        <f t="shared" si="22"/>
        <v>-0.10266070407612335</v>
      </c>
      <c r="U91" s="127">
        <f t="shared" si="23"/>
        <v>-4.1325717975023012E-2</v>
      </c>
      <c r="V91" s="127">
        <f t="shared" si="24"/>
        <v>-8.3400822215032866E-2</v>
      </c>
      <c r="W91" s="127">
        <f t="shared" si="25"/>
        <v>-4.8663910073929562E-2</v>
      </c>
      <c r="X91" s="127">
        <f t="shared" si="26"/>
        <v>-0.11006366595378671</v>
      </c>
      <c r="Y91" s="127">
        <f t="shared" si="27"/>
        <v>-6.4469592606482287E-2</v>
      </c>
      <c r="Z91" s="127">
        <f t="shared" si="28"/>
        <v>1.7265929510785333E-2</v>
      </c>
      <c r="AA91" s="127">
        <f t="shared" si="29"/>
        <v>-0.10299651129248484</v>
      </c>
      <c r="AB91" s="127">
        <f t="shared" si="30"/>
        <v>-4.5206578298050235E-2</v>
      </c>
      <c r="AC91" s="127">
        <f t="shared" si="31"/>
        <v>-7.6444854705642731E-2</v>
      </c>
      <c r="AD91" s="127">
        <f t="shared" si="32"/>
        <v>-2.3323233569394891E-2</v>
      </c>
      <c r="AE91" s="127">
        <f t="shared" si="33"/>
        <v>3.3461435220099702E-3</v>
      </c>
      <c r="AF91" s="127">
        <f t="shared" si="34"/>
        <v>-4.65245509059228E-2</v>
      </c>
    </row>
    <row r="92" spans="1:33" x14ac:dyDescent="0.3">
      <c r="A92" s="126">
        <v>42186</v>
      </c>
      <c r="B92" s="127">
        <f t="shared" si="4"/>
        <v>7.3600289322536538E-2</v>
      </c>
      <c r="C92" s="127">
        <f t="shared" si="5"/>
        <v>-0.13383610306295274</v>
      </c>
      <c r="D92" s="127">
        <f t="shared" si="6"/>
        <v>0.23261531077200601</v>
      </c>
      <c r="E92" s="127">
        <f t="shared" si="7"/>
        <v>3.3635703215413384E-2</v>
      </c>
      <c r="F92" s="127">
        <f t="shared" si="8"/>
        <v>5.979853469401452E-2</v>
      </c>
      <c r="G92" s="127">
        <f t="shared" si="9"/>
        <v>6.8598829172131642E-2</v>
      </c>
      <c r="H92" s="127">
        <f t="shared" si="10"/>
        <v>4.2220115176361435E-2</v>
      </c>
      <c r="I92" s="127">
        <f t="shared" si="11"/>
        <v>-2.2947091462955475E-3</v>
      </c>
      <c r="J92" s="127">
        <f t="shared" si="12"/>
        <v>-0.10367343101899552</v>
      </c>
      <c r="K92" s="127">
        <f t="shared" si="13"/>
        <v>-7.0544424129267036E-2</v>
      </c>
      <c r="L92" s="127">
        <f t="shared" si="14"/>
        <v>0.14178045761837549</v>
      </c>
      <c r="M92" s="127">
        <f t="shared" si="15"/>
        <v>6.1506793339836753E-2</v>
      </c>
      <c r="N92" s="127">
        <f t="shared" si="16"/>
        <v>-0.1009960002744618</v>
      </c>
      <c r="O92" s="127">
        <f t="shared" si="17"/>
        <v>-8.9410433779987142E-2</v>
      </c>
      <c r="P92" s="127">
        <f t="shared" si="18"/>
        <v>1.7924849574699322E-2</v>
      </c>
      <c r="Q92" s="127">
        <f t="shared" si="19"/>
        <v>0.10690837926867985</v>
      </c>
      <c r="R92" s="127">
        <f t="shared" si="20"/>
        <v>2.8893790019705136E-2</v>
      </c>
      <c r="S92" s="127">
        <f t="shared" si="21"/>
        <v>9.7019311917585727E-2</v>
      </c>
      <c r="T92" s="127">
        <f t="shared" si="22"/>
        <v>-2.2345429478457326E-2</v>
      </c>
      <c r="U92" s="127">
        <f t="shared" si="23"/>
        <v>-2.0451866906805248E-2</v>
      </c>
      <c r="V92" s="127">
        <f t="shared" si="24"/>
        <v>8.3054933451900445E-2</v>
      </c>
      <c r="W92" s="127">
        <f t="shared" si="25"/>
        <v>4.5240819802801124E-3</v>
      </c>
      <c r="X92" s="127">
        <f t="shared" si="26"/>
        <v>8.3261820390212495E-3</v>
      </c>
      <c r="Y92" s="127">
        <f t="shared" si="27"/>
        <v>-1.8728501902861522E-3</v>
      </c>
      <c r="Z92" s="127">
        <f t="shared" si="28"/>
        <v>-3.4054747070082825E-2</v>
      </c>
      <c r="AA92" s="127">
        <f t="shared" si="29"/>
        <v>2.4232713611644096E-2</v>
      </c>
      <c r="AB92" s="127">
        <f t="shared" si="30"/>
        <v>0.17130522847338964</v>
      </c>
      <c r="AC92" s="127">
        <f t="shared" si="31"/>
        <v>4.2907555187726071E-2</v>
      </c>
      <c r="AD92" s="127">
        <f t="shared" si="32"/>
        <v>-1.2194920608260551E-3</v>
      </c>
      <c r="AE92" s="127">
        <f t="shared" si="33"/>
        <v>5.1499745974327833E-2</v>
      </c>
      <c r="AF92" s="127">
        <f t="shared" si="34"/>
        <v>2.8138355627766898E-2</v>
      </c>
    </row>
    <row r="93" spans="1:33" x14ac:dyDescent="0.3">
      <c r="A93" s="126">
        <v>42217</v>
      </c>
      <c r="B93" s="127">
        <f t="shared" si="4"/>
        <v>-0.11553342388939532</v>
      </c>
      <c r="C93" s="127">
        <f t="shared" si="5"/>
        <v>-7.5849251821591829E-2</v>
      </c>
      <c r="D93" s="127">
        <f t="shared" si="6"/>
        <v>-8.7371602479498406E-2</v>
      </c>
      <c r="E93" s="127">
        <f t="shared" si="7"/>
        <v>-9.2179719343881264E-2</v>
      </c>
      <c r="F93" s="127">
        <f t="shared" si="8"/>
        <v>-5.2352569578014423E-2</v>
      </c>
      <c r="G93" s="127">
        <f t="shared" si="9"/>
        <v>-0.10367444934904639</v>
      </c>
      <c r="H93" s="127">
        <f t="shared" si="10"/>
        <v>-0.1203457903396677</v>
      </c>
      <c r="I93" s="127">
        <f t="shared" si="11"/>
        <v>-0.12654749000574403</v>
      </c>
      <c r="J93" s="127">
        <f t="shared" si="12"/>
        <v>-6.3497245074934677E-2</v>
      </c>
      <c r="K93" s="127">
        <f t="shared" si="13"/>
        <v>-0.10264488923147372</v>
      </c>
      <c r="L93" s="127">
        <f t="shared" si="14"/>
        <v>-5.3642089271708569E-2</v>
      </c>
      <c r="M93" s="127">
        <f t="shared" si="15"/>
        <v>-0.12976003584080012</v>
      </c>
      <c r="N93" s="127">
        <f t="shared" si="16"/>
        <v>-0.10040511309024933</v>
      </c>
      <c r="O93" s="127">
        <f t="shared" si="17"/>
        <v>2.5798190093539043E-2</v>
      </c>
      <c r="P93" s="127">
        <f t="shared" si="18"/>
        <v>-0.2736064294863611</v>
      </c>
      <c r="Q93" s="127">
        <f t="shared" si="19"/>
        <v>1.8418027762473393E-2</v>
      </c>
      <c r="R93" s="127">
        <f t="shared" si="20"/>
        <v>-8.9396775826243266E-2</v>
      </c>
      <c r="S93" s="127">
        <f t="shared" si="21"/>
        <v>-4.489034850560146E-2</v>
      </c>
      <c r="T93" s="127">
        <f t="shared" si="22"/>
        <v>-0.35138273848414714</v>
      </c>
      <c r="U93" s="127">
        <f t="shared" si="23"/>
        <v>-5.871447081488114E-2</v>
      </c>
      <c r="V93" s="127">
        <f t="shared" si="24"/>
        <v>3.2927028910394805E-2</v>
      </c>
      <c r="W93" s="127">
        <f t="shared" si="25"/>
        <v>-8.5308526122199441E-2</v>
      </c>
      <c r="X93" s="127">
        <f t="shared" si="26"/>
        <v>-0.17101346067752543</v>
      </c>
      <c r="Y93" s="127">
        <f t="shared" si="27"/>
        <v>-8.8013819028752133E-2</v>
      </c>
      <c r="Z93" s="127">
        <f t="shared" si="28"/>
        <v>-6.398813431199224E-2</v>
      </c>
      <c r="AA93" s="127">
        <f t="shared" si="29"/>
        <v>-9.2331627208953257E-2</v>
      </c>
      <c r="AB93" s="127">
        <f t="shared" si="30"/>
        <v>1.254167931138174E-2</v>
      </c>
      <c r="AC93" s="127">
        <f t="shared" si="31"/>
        <v>-2.9572310230147711E-2</v>
      </c>
      <c r="AD93" s="127">
        <f t="shared" si="32"/>
        <v>-0.16819181871498468</v>
      </c>
      <c r="AE93" s="127">
        <f t="shared" si="33"/>
        <v>-8.4758455285353376E-2</v>
      </c>
      <c r="AF93" s="127">
        <f t="shared" si="34"/>
        <v>-0.10197741687482854</v>
      </c>
    </row>
    <row r="94" spans="1:33" x14ac:dyDescent="0.3">
      <c r="A94" s="126">
        <v>42248</v>
      </c>
      <c r="B94" s="127">
        <f t="shared" si="4"/>
        <v>-3.4861360781535893E-2</v>
      </c>
      <c r="C94" s="127">
        <f t="shared" si="5"/>
        <v>-0.55293982895689553</v>
      </c>
      <c r="D94" s="127">
        <f t="shared" si="6"/>
        <v>-4.7928768987339429E-2</v>
      </c>
      <c r="E94" s="127">
        <f t="shared" si="7"/>
        <v>-4.2575621722949361E-2</v>
      </c>
      <c r="F94" s="127">
        <f t="shared" si="8"/>
        <v>-1.948094941739666E-2</v>
      </c>
      <c r="G94" s="127">
        <f t="shared" si="9"/>
        <v>-0.10820105017429645</v>
      </c>
      <c r="H94" s="127">
        <f t="shared" si="10"/>
        <v>2.3658923685883652E-3</v>
      </c>
      <c r="I94" s="127">
        <f t="shared" si="11"/>
        <v>-9.9083587657956565E-2</v>
      </c>
      <c r="J94" s="127">
        <f t="shared" si="12"/>
        <v>1.3902981753721233E-2</v>
      </c>
      <c r="K94" s="127">
        <f t="shared" si="13"/>
        <v>-3.5062472376245123E-2</v>
      </c>
      <c r="L94" s="127">
        <f t="shared" si="14"/>
        <v>-0.11032753616615834</v>
      </c>
      <c r="M94" s="127">
        <f t="shared" si="15"/>
        <v>5.6431806041546899E-2</v>
      </c>
      <c r="N94" s="127">
        <f t="shared" si="16"/>
        <v>-0.49131709489020342</v>
      </c>
      <c r="O94" s="127">
        <f t="shared" si="17"/>
        <v>-3.4350656596959711E-2</v>
      </c>
      <c r="P94" s="127">
        <f t="shared" si="18"/>
        <v>-0.14256773677784301</v>
      </c>
      <c r="Q94" s="127">
        <f t="shared" si="19"/>
        <v>-2.3522146016286008E-2</v>
      </c>
      <c r="R94" s="127">
        <f t="shared" si="20"/>
        <v>-8.1950615750227662E-2</v>
      </c>
      <c r="S94" s="127">
        <f t="shared" si="21"/>
        <v>-4.5118948068013413E-2</v>
      </c>
      <c r="T94" s="127">
        <f t="shared" si="22"/>
        <v>-0.28181862929571788</v>
      </c>
      <c r="U94" s="127">
        <f t="shared" si="23"/>
        <v>-7.808130138992081E-2</v>
      </c>
      <c r="V94" s="127">
        <f t="shared" si="24"/>
        <v>1.1458715749130119E-2</v>
      </c>
      <c r="W94" s="127">
        <f t="shared" si="25"/>
        <v>2.394425095863684E-2</v>
      </c>
      <c r="X94" s="127">
        <f t="shared" si="26"/>
        <v>-0.27235430314165171</v>
      </c>
      <c r="Y94" s="127">
        <f t="shared" si="27"/>
        <v>-4.8401882442681149E-2</v>
      </c>
      <c r="Z94" s="127">
        <f t="shared" si="28"/>
        <v>1.1223515202159626E-2</v>
      </c>
      <c r="AA94" s="127">
        <f t="shared" si="29"/>
        <v>-4.5124500847518463E-2</v>
      </c>
      <c r="AB94" s="127">
        <f t="shared" si="30"/>
        <v>1.3036645211574646E-2</v>
      </c>
      <c r="AC94" s="127">
        <f t="shared" si="31"/>
        <v>1.5558374920303774E-2</v>
      </c>
      <c r="AD94" s="127">
        <f t="shared" si="32"/>
        <v>-0.1997227668667978</v>
      </c>
      <c r="AE94" s="127">
        <f t="shared" si="33"/>
        <v>-7.3001041775412152E-3</v>
      </c>
      <c r="AF94" s="127">
        <f t="shared" si="34"/>
        <v>-6.4740649953319934E-2</v>
      </c>
    </row>
    <row r="95" spans="1:33" x14ac:dyDescent="0.3">
      <c r="A95" s="126">
        <v>42278</v>
      </c>
      <c r="B95" s="127">
        <f t="shared" si="4"/>
        <v>6.3220050627070354E-2</v>
      </c>
      <c r="C95" s="127">
        <f t="shared" si="5"/>
        <v>0.10918309531515187</v>
      </c>
      <c r="D95" s="127">
        <f t="shared" si="6"/>
        <v>0.21643019057405607</v>
      </c>
      <c r="E95" s="127">
        <f t="shared" si="7"/>
        <v>0.20743918228588917</v>
      </c>
      <c r="F95" s="127">
        <f t="shared" si="8"/>
        <v>0.12235507564677769</v>
      </c>
      <c r="G95" s="127">
        <f t="shared" si="9"/>
        <v>0.12812792084772251</v>
      </c>
      <c r="H95" s="127">
        <f t="shared" si="10"/>
        <v>8.1837346871746972E-2</v>
      </c>
      <c r="I95" s="127">
        <f t="shared" si="11"/>
        <v>0.19776333620343517</v>
      </c>
      <c r="J95" s="127">
        <f t="shared" si="12"/>
        <v>8.9949715721339252E-2</v>
      </c>
      <c r="K95" s="127">
        <f t="shared" si="13"/>
        <v>0.16634151268424657</v>
      </c>
      <c r="L95" s="127">
        <f t="shared" si="14"/>
        <v>0.17545638656068074</v>
      </c>
      <c r="M95" s="127">
        <f t="shared" si="15"/>
        <v>0.10454289663751007</v>
      </c>
      <c r="N95" s="127">
        <f t="shared" si="16"/>
        <v>0.10901560069102233</v>
      </c>
      <c r="O95" s="127">
        <f t="shared" si="17"/>
        <v>0.16931508775767923</v>
      </c>
      <c r="P95" s="127">
        <f t="shared" si="18"/>
        <v>0.33287595014203192</v>
      </c>
      <c r="Q95" s="127">
        <f t="shared" si="19"/>
        <v>4.5152836512020719E-2</v>
      </c>
      <c r="R95" s="127">
        <f t="shared" si="20"/>
        <v>0.10942361872268816</v>
      </c>
      <c r="S95" s="127">
        <f t="shared" si="21"/>
        <v>7.3725493227603092E-2</v>
      </c>
      <c r="T95" s="127">
        <f t="shared" si="22"/>
        <v>0.21505042947079819</v>
      </c>
      <c r="U95" s="127">
        <f t="shared" si="23"/>
        <v>0.10591439797402577</v>
      </c>
      <c r="V95" s="127">
        <f t="shared" si="24"/>
        <v>6.3916116969995981E-2</v>
      </c>
      <c r="W95" s="127">
        <f t="shared" si="25"/>
        <v>0.16007131255358176</v>
      </c>
      <c r="X95" s="127">
        <f t="shared" si="26"/>
        <v>0.22665200241630021</v>
      </c>
      <c r="Y95" s="127">
        <f t="shared" si="27"/>
        <v>8.8557736288229355E-2</v>
      </c>
      <c r="Z95" s="127">
        <f t="shared" si="28"/>
        <v>0.14794908136072465</v>
      </c>
      <c r="AA95" s="127">
        <f t="shared" si="29"/>
        <v>0.13427093827704756</v>
      </c>
      <c r="AB95" s="127">
        <f t="shared" si="30"/>
        <v>7.4190701896674927E-2</v>
      </c>
      <c r="AC95" s="127">
        <f t="shared" si="31"/>
        <v>8.385457915300458E-2</v>
      </c>
      <c r="AD95" s="127">
        <f t="shared" si="32"/>
        <v>0.16679307100949753</v>
      </c>
      <c r="AE95" s="127">
        <f t="shared" si="33"/>
        <v>8.2290030136907125E-2</v>
      </c>
      <c r="AF95" s="127">
        <f t="shared" si="34"/>
        <v>0.11155914827156993</v>
      </c>
    </row>
    <row r="96" spans="1:33" x14ac:dyDescent="0.3">
      <c r="A96" s="126">
        <v>42309</v>
      </c>
      <c r="B96" s="127">
        <f t="shared" si="4"/>
        <v>7.9246236950439836E-2</v>
      </c>
      <c r="C96" s="127">
        <f t="shared" si="5"/>
        <v>0.18279051130194329</v>
      </c>
      <c r="D96" s="127">
        <f t="shared" si="6"/>
        <v>-3.703252992992917E-2</v>
      </c>
      <c r="E96" s="127">
        <f t="shared" si="7"/>
        <v>2.903007820800528E-2</v>
      </c>
      <c r="F96" s="127">
        <f t="shared" si="8"/>
        <v>4.5454011235130098E-2</v>
      </c>
      <c r="G96" s="127">
        <f t="shared" si="9"/>
        <v>6.3178858245555289E-2</v>
      </c>
      <c r="H96" s="127">
        <f t="shared" si="10"/>
        <v>1.5370809619158349E-2</v>
      </c>
      <c r="I96" s="127">
        <f t="shared" si="11"/>
        <v>7.1173910157281528E-2</v>
      </c>
      <c r="J96" s="127">
        <f t="shared" si="12"/>
        <v>0.20788721790520454</v>
      </c>
      <c r="K96" s="127">
        <f t="shared" si="13"/>
        <v>0.10328170504700904</v>
      </c>
      <c r="L96" s="127">
        <f t="shared" si="14"/>
        <v>2.814180610633428E-2</v>
      </c>
      <c r="M96" s="127">
        <f t="shared" si="15"/>
        <v>9.623733217913602E-2</v>
      </c>
      <c r="N96" s="127">
        <f t="shared" si="16"/>
        <v>0.15112381389825147</v>
      </c>
      <c r="O96" s="127">
        <f t="shared" si="17"/>
        <v>-8.7498126135347465E-2</v>
      </c>
      <c r="P96" s="127">
        <f t="shared" si="18"/>
        <v>-5.1023380051571983E-2</v>
      </c>
      <c r="Q96" s="127">
        <f t="shared" si="19"/>
        <v>-4.2532461096032509E-2</v>
      </c>
      <c r="R96" s="127">
        <f t="shared" si="20"/>
        <v>8.0653432108024878E-2</v>
      </c>
      <c r="S96" s="127">
        <f t="shared" si="21"/>
        <v>-4.0959804943518981E-2</v>
      </c>
      <c r="T96" s="127">
        <f t="shared" si="22"/>
        <v>-0.15479517410105237</v>
      </c>
      <c r="U96" s="127">
        <f t="shared" si="23"/>
        <v>9.8109851362842629E-2</v>
      </c>
      <c r="V96" s="127">
        <f t="shared" si="24"/>
        <v>7.527128132109524E-3</v>
      </c>
      <c r="W96" s="127">
        <f t="shared" si="25"/>
        <v>-4.5492304782456611E-2</v>
      </c>
      <c r="X96" s="127">
        <f t="shared" si="26"/>
        <v>-6.2396375577751198E-2</v>
      </c>
      <c r="Y96" s="127">
        <f t="shared" si="27"/>
        <v>5.1415156219024115E-2</v>
      </c>
      <c r="Z96" s="127">
        <f t="shared" si="28"/>
        <v>5.2508576518399304E-2</v>
      </c>
      <c r="AA96" s="127">
        <f t="shared" si="29"/>
        <v>0.12605784067628489</v>
      </c>
      <c r="AB96" s="127">
        <f t="shared" si="30"/>
        <v>-3.0490934458226912E-2</v>
      </c>
      <c r="AC96" s="127">
        <f t="shared" si="31"/>
        <v>3.9564814071435299E-2</v>
      </c>
      <c r="AD96" s="127">
        <f t="shared" si="32"/>
        <v>0.1031242253232925</v>
      </c>
      <c r="AE96" s="127">
        <f t="shared" si="33"/>
        <v>2.5499013839893761E-3</v>
      </c>
      <c r="AF96" s="127">
        <f t="shared" si="34"/>
        <v>4.3295745176571476E-2</v>
      </c>
    </row>
    <row r="97" spans="1:32" x14ac:dyDescent="0.3">
      <c r="A97" s="126">
        <v>42339</v>
      </c>
      <c r="B97" s="127">
        <f t="shared" si="4"/>
        <v>-2.3879947585821064E-2</v>
      </c>
      <c r="C97" s="127">
        <f t="shared" si="5"/>
        <v>1.4085277287948445E-2</v>
      </c>
      <c r="D97" s="127">
        <f t="shared" si="6"/>
        <v>6.4617406331361205E-2</v>
      </c>
      <c r="E97" s="127">
        <f t="shared" si="7"/>
        <v>-2.4333340883644302E-2</v>
      </c>
      <c r="F97" s="127">
        <f t="shared" si="8"/>
        <v>-3.0081139741606686E-2</v>
      </c>
      <c r="G97" s="127">
        <f t="shared" si="9"/>
        <v>-9.4896287261784867E-2</v>
      </c>
      <c r="H97" s="127">
        <f t="shared" si="10"/>
        <v>-7.0343782516411782E-2</v>
      </c>
      <c r="I97" s="127">
        <f t="shared" si="11"/>
        <v>-8.738785474215327E-2</v>
      </c>
      <c r="J97" s="127">
        <f t="shared" si="12"/>
        <v>-5.5164640050378327E-2</v>
      </c>
      <c r="K97" s="127">
        <f t="shared" si="13"/>
        <v>-5.4345235988296117E-2</v>
      </c>
      <c r="L97" s="127">
        <f t="shared" si="14"/>
        <v>-1.1232670274816461E-2</v>
      </c>
      <c r="M97" s="127">
        <f t="shared" si="15"/>
        <v>-3.8381359586952088E-2</v>
      </c>
      <c r="N97" s="127">
        <f t="shared" si="16"/>
        <v>3.9961773539417865E-3</v>
      </c>
      <c r="O97" s="127">
        <f t="shared" si="17"/>
        <v>0.10408137202656512</v>
      </c>
      <c r="P97" s="127">
        <f t="shared" si="18"/>
        <v>-0.17823243907190539</v>
      </c>
      <c r="Q97" s="127">
        <f t="shared" si="19"/>
        <v>-3.5630317052346275E-2</v>
      </c>
      <c r="R97" s="127">
        <f t="shared" si="20"/>
        <v>-8.5786155457721489E-2</v>
      </c>
      <c r="S97" s="127">
        <f t="shared" si="21"/>
        <v>-7.4553926481032134E-3</v>
      </c>
      <c r="T97" s="127">
        <f t="shared" si="22"/>
        <v>6.7673218675666655E-2</v>
      </c>
      <c r="U97" s="127">
        <f t="shared" si="23"/>
        <v>-5.4508208063800467E-2</v>
      </c>
      <c r="V97" s="127">
        <f t="shared" si="24"/>
        <v>-2.4201752610563891E-2</v>
      </c>
      <c r="W97" s="127">
        <f t="shared" si="25"/>
        <v>-5.4134333607622626E-3</v>
      </c>
      <c r="X97" s="127">
        <f t="shared" si="26"/>
        <v>-5.0163070363698241E-3</v>
      </c>
      <c r="Y97" s="127">
        <f t="shared" si="27"/>
        <v>-0.10077135303335609</v>
      </c>
      <c r="Z97" s="127">
        <f t="shared" si="28"/>
        <v>-1.0514298322602332E-2</v>
      </c>
      <c r="AA97" s="127">
        <f t="shared" si="29"/>
        <v>-5.8026845259967319E-2</v>
      </c>
      <c r="AB97" s="127">
        <f t="shared" si="30"/>
        <v>-3.7595114009804177E-2</v>
      </c>
      <c r="AC97" s="127">
        <f t="shared" si="31"/>
        <v>-3.0435878777543255E-2</v>
      </c>
      <c r="AD97" s="127">
        <f t="shared" si="32"/>
        <v>-8.4570310133193285E-2</v>
      </c>
      <c r="AE97" s="127">
        <f t="shared" si="33"/>
        <v>-3.1918786126990811E-2</v>
      </c>
      <c r="AF97" s="127">
        <f t="shared" si="34"/>
        <v>-6.2377695815135858E-2</v>
      </c>
    </row>
    <row r="98" spans="1:32" x14ac:dyDescent="0.3">
      <c r="A98" s="126">
        <v>42370</v>
      </c>
      <c r="B98" s="127">
        <f t="shared" si="4"/>
        <v>-4.2500292606092657E-2</v>
      </c>
      <c r="C98" s="127">
        <f t="shared" si="5"/>
        <v>-0.2265786687469821</v>
      </c>
      <c r="D98" s="127">
        <f t="shared" si="6"/>
        <v>-6.4352974965598678E-2</v>
      </c>
      <c r="E98" s="127">
        <f t="shared" si="7"/>
        <v>-1.0570929157708502E-2</v>
      </c>
      <c r="F98" s="127">
        <f t="shared" si="8"/>
        <v>-0.10084562535404831</v>
      </c>
      <c r="G98" s="127">
        <f t="shared" si="9"/>
        <v>-2.5993623730557969E-2</v>
      </c>
      <c r="H98" s="127">
        <f t="shared" si="10"/>
        <v>-0.15717770653728924</v>
      </c>
      <c r="I98" s="127">
        <f t="shared" si="11"/>
        <v>-0.18915748499716364</v>
      </c>
      <c r="J98" s="127">
        <f t="shared" si="12"/>
        <v>-0.11285512716122743</v>
      </c>
      <c r="K98" s="127">
        <f t="shared" si="13"/>
        <v>-0.23969744638545437</v>
      </c>
      <c r="L98" s="127">
        <f t="shared" si="14"/>
        <v>-8.6473833716676426E-2</v>
      </c>
      <c r="M98" s="127">
        <f t="shared" si="15"/>
        <v>3.4988738955557083E-2</v>
      </c>
      <c r="N98" s="127">
        <f t="shared" si="16"/>
        <v>-0.18219027942263535</v>
      </c>
      <c r="O98" s="127">
        <f t="shared" si="17"/>
        <v>-0.14267288374911419</v>
      </c>
      <c r="P98" s="127">
        <f t="shared" si="18"/>
        <v>-0.19243313944253854</v>
      </c>
      <c r="Q98" s="127">
        <f t="shared" si="19"/>
        <v>-2.7771716995007974E-2</v>
      </c>
      <c r="R98" s="127">
        <f t="shared" si="20"/>
        <v>-0.11870867500773415</v>
      </c>
      <c r="S98" s="127">
        <f t="shared" si="21"/>
        <v>-4.4669218645983146E-2</v>
      </c>
      <c r="T98" s="127">
        <f t="shared" si="22"/>
        <v>9.0039441229899458E-2</v>
      </c>
      <c r="U98" s="127">
        <f t="shared" si="23"/>
        <v>-7.5935348521530929E-2</v>
      </c>
      <c r="V98" s="127">
        <f t="shared" si="24"/>
        <v>-6.2513959964872204E-2</v>
      </c>
      <c r="W98" s="127">
        <f t="shared" si="25"/>
        <v>5.0060385076430923E-2</v>
      </c>
      <c r="X98" s="127">
        <f t="shared" si="26"/>
        <v>5.7289316851589375E-2</v>
      </c>
      <c r="Y98" s="127">
        <f t="shared" si="27"/>
        <v>-0.14465799527689707</v>
      </c>
      <c r="Z98" s="127">
        <f t="shared" si="28"/>
        <v>-0.14568449699733593</v>
      </c>
      <c r="AA98" s="127">
        <f t="shared" si="29"/>
        <v>-0.12202625864939524</v>
      </c>
      <c r="AB98" s="127">
        <f t="shared" si="30"/>
        <v>-8.6619345664234959E-2</v>
      </c>
      <c r="AC98" s="127">
        <f t="shared" si="31"/>
        <v>-6.1357099507043919E-2</v>
      </c>
      <c r="AD98" s="127">
        <f t="shared" si="32"/>
        <v>-0.24348004941330917</v>
      </c>
      <c r="AE98" s="127">
        <f t="shared" si="33"/>
        <v>-8.0343296280406123E-2</v>
      </c>
      <c r="AF98" s="127">
        <f t="shared" si="34"/>
        <v>-9.6645439604415309E-2</v>
      </c>
    </row>
    <row r="99" spans="1:32" x14ac:dyDescent="0.3">
      <c r="A99" s="126">
        <v>42401</v>
      </c>
      <c r="B99" s="127">
        <f t="shared" si="4"/>
        <v>-3.8696381128196906E-2</v>
      </c>
      <c r="C99" s="127">
        <f t="shared" si="5"/>
        <v>4.955665129477484E-3</v>
      </c>
      <c r="D99" s="127">
        <f t="shared" si="6"/>
        <v>0.11243196066731242</v>
      </c>
      <c r="E99" s="127">
        <f t="shared" si="7"/>
        <v>-5.3399377821614309E-2</v>
      </c>
      <c r="F99" s="127">
        <f t="shared" si="8"/>
        <v>-8.5111889868228763E-2</v>
      </c>
      <c r="G99" s="127">
        <f t="shared" si="9"/>
        <v>-3.8235273636185792E-2</v>
      </c>
      <c r="H99" s="127">
        <f t="shared" si="10"/>
        <v>-2.4171491558448579E-2</v>
      </c>
      <c r="I99" s="127">
        <f t="shared" si="11"/>
        <v>-1.5886980554693127E-2</v>
      </c>
      <c r="J99" s="127">
        <f t="shared" si="12"/>
        <v>-0.10322449257542776</v>
      </c>
      <c r="K99" s="127">
        <f t="shared" si="13"/>
        <v>-1.7786626853708701E-2</v>
      </c>
      <c r="L99" s="127">
        <f t="shared" si="14"/>
        <v>0.10423187115314558</v>
      </c>
      <c r="M99" s="127">
        <f t="shared" si="15"/>
        <v>1.6115597040341267E-2</v>
      </c>
      <c r="N99" s="127">
        <f t="shared" si="16"/>
        <v>6.6647281391574989E-3</v>
      </c>
      <c r="O99" s="127">
        <f t="shared" si="17"/>
        <v>-1.754353828057852E-2</v>
      </c>
      <c r="P99" s="127">
        <f t="shared" si="18"/>
        <v>1.377833361285092E-2</v>
      </c>
      <c r="Q99" s="127">
        <f t="shared" si="19"/>
        <v>1.6355784743000167E-2</v>
      </c>
      <c r="R99" s="127">
        <f t="shared" si="20"/>
        <v>-2.7789032291730065E-2</v>
      </c>
      <c r="S99" s="127">
        <f t="shared" si="21"/>
        <v>-4.1446954533666529E-2</v>
      </c>
      <c r="T99" s="127">
        <f t="shared" si="22"/>
        <v>-0.20436648475749089</v>
      </c>
      <c r="U99" s="127">
        <f t="shared" si="23"/>
        <v>-1.7339308210180673E-2</v>
      </c>
      <c r="V99" s="127">
        <f t="shared" si="24"/>
        <v>-2.2107742101428749E-3</v>
      </c>
      <c r="W99" s="127">
        <f t="shared" si="25"/>
        <v>-4.8316053714957646E-2</v>
      </c>
      <c r="X99" s="127">
        <f t="shared" si="26"/>
        <v>-0.11395725847611371</v>
      </c>
      <c r="Y99" s="127">
        <f t="shared" si="27"/>
        <v>-1.3613238100709212E-2</v>
      </c>
      <c r="Z99" s="127">
        <f t="shared" si="28"/>
        <v>-3.4625774122887393E-2</v>
      </c>
      <c r="AA99" s="127">
        <f t="shared" si="29"/>
        <v>-0.12723689988251496</v>
      </c>
      <c r="AB99" s="127">
        <f t="shared" si="30"/>
        <v>3.7337205649808379E-2</v>
      </c>
      <c r="AC99" s="127">
        <f t="shared" si="31"/>
        <v>1.9047162781135912E-2</v>
      </c>
      <c r="AD99" s="127">
        <f t="shared" si="32"/>
        <v>0.10204674985888992</v>
      </c>
      <c r="AE99" s="127">
        <f t="shared" si="33"/>
        <v>-1.2294882908221356E-2</v>
      </c>
      <c r="AF99" s="127">
        <f t="shared" si="34"/>
        <v>-3.5961678138029529E-2</v>
      </c>
    </row>
    <row r="100" spans="1:32" x14ac:dyDescent="0.3">
      <c r="A100" s="126">
        <v>42430</v>
      </c>
      <c r="B100" s="127">
        <f t="shared" si="4"/>
        <v>5.8396345710186884E-2</v>
      </c>
      <c r="C100" s="127">
        <f t="shared" si="5"/>
        <v>3.5309002771929998E-2</v>
      </c>
      <c r="D100" s="127">
        <f t="shared" si="6"/>
        <v>9.2055950786382346E-2</v>
      </c>
      <c r="E100" s="127">
        <f t="shared" si="7"/>
        <v>8.4712953302570684E-3</v>
      </c>
      <c r="F100" s="127">
        <f t="shared" si="8"/>
        <v>3.5369417564918758E-2</v>
      </c>
      <c r="G100" s="127">
        <f t="shared" si="9"/>
        <v>7.9206011164566881E-2</v>
      </c>
      <c r="H100" s="127">
        <f t="shared" si="10"/>
        <v>0.10053913328200807</v>
      </c>
      <c r="I100" s="127">
        <f t="shared" si="11"/>
        <v>6.6251258881799335E-2</v>
      </c>
      <c r="J100" s="127">
        <f t="shared" si="12"/>
        <v>8.6987098519018688E-2</v>
      </c>
      <c r="K100" s="127">
        <f t="shared" si="13"/>
        <v>7.3359775976636246E-2</v>
      </c>
      <c r="L100" s="127">
        <f t="shared" si="14"/>
        <v>-0.14523833371686073</v>
      </c>
      <c r="M100" s="127">
        <f t="shared" si="15"/>
        <v>2.5210179730843996E-2</v>
      </c>
      <c r="N100" s="127">
        <f t="shared" si="16"/>
        <v>6.8515712065846807E-2</v>
      </c>
      <c r="O100" s="127">
        <f t="shared" si="17"/>
        <v>3.4086504956268762E-2</v>
      </c>
      <c r="P100" s="127">
        <f t="shared" si="18"/>
        <v>-1.8134200241003172E-2</v>
      </c>
      <c r="Q100" s="127">
        <f t="shared" si="19"/>
        <v>8.7835922972528041E-2</v>
      </c>
      <c r="R100" s="127">
        <f t="shared" si="20"/>
        <v>-7.396881253493072E-2</v>
      </c>
      <c r="S100" s="127">
        <f t="shared" si="21"/>
        <v>-2.552863418409701E-2</v>
      </c>
      <c r="T100" s="127">
        <f t="shared" si="22"/>
        <v>7.0888500966659634E-2</v>
      </c>
      <c r="U100" s="127">
        <f t="shared" si="23"/>
        <v>-1.0102211010837796E-2</v>
      </c>
      <c r="V100" s="127">
        <f t="shared" si="24"/>
        <v>0.10666459500707504</v>
      </c>
      <c r="W100" s="127">
        <f t="shared" si="25"/>
        <v>1.5146161192726689E-3</v>
      </c>
      <c r="X100" s="127">
        <f t="shared" si="26"/>
        <v>8.0373852880403843E-3</v>
      </c>
      <c r="Y100" s="127">
        <f t="shared" si="27"/>
        <v>9.8408382864858882E-2</v>
      </c>
      <c r="Z100" s="127">
        <f t="shared" si="28"/>
        <v>8.7924447651670845E-2</v>
      </c>
      <c r="AA100" s="127">
        <f t="shared" si="29"/>
        <v>0.19007418889609912</v>
      </c>
      <c r="AB100" s="127">
        <f t="shared" si="30"/>
        <v>-3.8469394525784351E-2</v>
      </c>
      <c r="AC100" s="127">
        <f t="shared" si="31"/>
        <v>-1.4115260239715668E-2</v>
      </c>
      <c r="AD100" s="127">
        <f t="shared" si="32"/>
        <v>0.1657102421864626</v>
      </c>
      <c r="AE100" s="127">
        <f t="shared" si="33"/>
        <v>0.13068434709079821</v>
      </c>
      <c r="AF100" s="127">
        <f t="shared" si="34"/>
        <v>4.3743021653592985E-2</v>
      </c>
    </row>
    <row r="101" spans="1:32" x14ac:dyDescent="0.3">
      <c r="A101" s="126">
        <v>42461</v>
      </c>
      <c r="B101" s="127">
        <f t="shared" si="4"/>
        <v>2.7929939040067821E-2</v>
      </c>
      <c r="C101" s="127">
        <f t="shared" si="5"/>
        <v>0.1201881841779698</v>
      </c>
      <c r="D101" s="127">
        <f t="shared" si="6"/>
        <v>4.2843606781800832E-2</v>
      </c>
      <c r="E101" s="127">
        <f t="shared" si="7"/>
        <v>-4.7863097172589159E-2</v>
      </c>
      <c r="F101" s="127">
        <f t="shared" si="8"/>
        <v>3.1083698295751958E-2</v>
      </c>
      <c r="G101" s="127">
        <f t="shared" si="9"/>
        <v>-2.896329720809411E-2</v>
      </c>
      <c r="H101" s="127">
        <f t="shared" si="10"/>
        <v>4.2199282816444167E-2</v>
      </c>
      <c r="I101" s="127">
        <f t="shared" si="11"/>
        <v>-0.10364866166840644</v>
      </c>
      <c r="J101" s="127">
        <f t="shared" si="12"/>
        <v>-2.3812316864316282E-2</v>
      </c>
      <c r="K101" s="127">
        <f t="shared" si="13"/>
        <v>-3.7407395166883786E-4</v>
      </c>
      <c r="L101" s="127">
        <f t="shared" si="14"/>
        <v>-5.9936742635866957E-2</v>
      </c>
      <c r="M101" s="127">
        <f t="shared" si="15"/>
        <v>6.9244293307216903E-2</v>
      </c>
      <c r="N101" s="127">
        <f t="shared" si="16"/>
        <v>7.0584228835645177E-2</v>
      </c>
      <c r="O101" s="127">
        <f t="shared" si="17"/>
        <v>-7.403840486420217E-2</v>
      </c>
      <c r="P101" s="127">
        <f t="shared" si="18"/>
        <v>2.6906050028512665E-3</v>
      </c>
      <c r="Q101" s="127">
        <f t="shared" si="19"/>
        <v>-8.2127927051737298E-2</v>
      </c>
      <c r="R101" s="127">
        <f t="shared" si="20"/>
        <v>0.10616114887852943</v>
      </c>
      <c r="S101" s="127">
        <f t="shared" si="21"/>
        <v>-5.4919224561215285E-2</v>
      </c>
      <c r="T101" s="127">
        <f t="shared" si="22"/>
        <v>0.132088048971364</v>
      </c>
      <c r="U101" s="127">
        <f t="shared" si="23"/>
        <v>-3.4675087144602275E-2</v>
      </c>
      <c r="V101" s="127">
        <f t="shared" si="24"/>
        <v>-2.9007807477737152E-2</v>
      </c>
      <c r="W101" s="127">
        <f t="shared" si="25"/>
        <v>-2.6602062539896255E-2</v>
      </c>
      <c r="X101" s="127">
        <f t="shared" si="26"/>
        <v>6.8000077081552979E-2</v>
      </c>
      <c r="Y101" s="127">
        <f t="shared" si="27"/>
        <v>8.6115944903004435E-2</v>
      </c>
      <c r="Z101" s="127">
        <f t="shared" si="28"/>
        <v>-3.4065800926312784E-2</v>
      </c>
      <c r="AA101" s="127">
        <f t="shared" si="29"/>
        <v>2.6016869879725971E-2</v>
      </c>
      <c r="AB101" s="127">
        <f t="shared" si="30"/>
        <v>3.3205768481600305E-3</v>
      </c>
      <c r="AC101" s="127">
        <f t="shared" si="31"/>
        <v>-9.9120307308096622E-2</v>
      </c>
      <c r="AD101" s="127">
        <f t="shared" si="32"/>
        <v>0.11595001185665062</v>
      </c>
      <c r="AE101" s="127">
        <f t="shared" si="33"/>
        <v>-3.8867241042434761E-2</v>
      </c>
      <c r="AF101" s="127">
        <f t="shared" si="34"/>
        <v>2.7647488612794402E-3</v>
      </c>
    </row>
    <row r="102" spans="1:32" x14ac:dyDescent="0.3">
      <c r="A102" s="126">
        <v>42491</v>
      </c>
      <c r="B102" s="127">
        <f t="shared" si="4"/>
        <v>6.1325056965889246E-2</v>
      </c>
      <c r="C102" s="127">
        <f t="shared" si="5"/>
        <v>5.8101260943660207E-2</v>
      </c>
      <c r="D102" s="127">
        <f t="shared" si="6"/>
        <v>-0.41030395554135546</v>
      </c>
      <c r="E102" s="127">
        <f t="shared" si="7"/>
        <v>5.7730486442053253E-2</v>
      </c>
      <c r="F102" s="127">
        <f t="shared" si="8"/>
        <v>-1.583177354266093E-2</v>
      </c>
      <c r="G102" s="127">
        <f t="shared" si="9"/>
        <v>5.3423639013089212E-2</v>
      </c>
      <c r="H102" s="127">
        <f t="shared" si="10"/>
        <v>1.5816965729618011E-2</v>
      </c>
      <c r="I102" s="127">
        <f t="shared" si="11"/>
        <v>1.2240229048039671E-2</v>
      </c>
      <c r="J102" s="127">
        <f t="shared" si="12"/>
        <v>6.3697302053425095E-2</v>
      </c>
      <c r="K102" s="127">
        <f t="shared" si="13"/>
        <v>-5.6864944108979541E-2</v>
      </c>
      <c r="L102" s="127">
        <f t="shared" si="14"/>
        <v>-1.2330579872133623E-4</v>
      </c>
      <c r="M102" s="127">
        <f t="shared" si="15"/>
        <v>2.525476392366971E-3</v>
      </c>
      <c r="N102" s="127">
        <f t="shared" si="16"/>
        <v>1.2851401656732757E-2</v>
      </c>
      <c r="O102" s="127">
        <f t="shared" si="17"/>
        <v>-0.11658875483393194</v>
      </c>
      <c r="P102" s="127">
        <f t="shared" si="18"/>
        <v>6.7607472527151019E-2</v>
      </c>
      <c r="Q102" s="127">
        <f t="shared" si="19"/>
        <v>3.8508462012744528E-2</v>
      </c>
      <c r="R102" s="127">
        <f t="shared" si="20"/>
        <v>8.4967051227326437E-2</v>
      </c>
      <c r="S102" s="127">
        <f t="shared" si="21"/>
        <v>8.4011288728263481E-2</v>
      </c>
      <c r="T102" s="127">
        <f t="shared" si="22"/>
        <v>-0.10808852897830679</v>
      </c>
      <c r="U102" s="127">
        <f t="shared" si="23"/>
        <v>1.728819579332249E-2</v>
      </c>
      <c r="V102" s="127">
        <f t="shared" si="24"/>
        <v>6.8711239453052061E-2</v>
      </c>
      <c r="W102" s="127">
        <f t="shared" si="25"/>
        <v>2.9885313248488074E-2</v>
      </c>
      <c r="X102" s="127">
        <f t="shared" si="26"/>
        <v>-1.6552598289018901E-2</v>
      </c>
      <c r="Y102" s="127">
        <f t="shared" si="27"/>
        <v>-3.6869677579756573E-2</v>
      </c>
      <c r="Z102" s="127">
        <f t="shared" si="28"/>
        <v>1.2998622899493467E-2</v>
      </c>
      <c r="AA102" s="127">
        <f t="shared" si="29"/>
        <v>6.9692415612139652E-2</v>
      </c>
      <c r="AB102" s="127">
        <f t="shared" si="30"/>
        <v>2.7418669538950793E-2</v>
      </c>
      <c r="AC102" s="127">
        <f t="shared" si="31"/>
        <v>3.2094029214011041E-2</v>
      </c>
      <c r="AD102" s="127">
        <f t="shared" si="32"/>
        <v>-1.6387104546639039E-2</v>
      </c>
      <c r="AE102" s="127">
        <f t="shared" si="33"/>
        <v>3.8947729101618811E-2</v>
      </c>
      <c r="AF102" s="127">
        <f t="shared" si="34"/>
        <v>1.7465702244021948E-2</v>
      </c>
    </row>
    <row r="103" spans="1:32" x14ac:dyDescent="0.3">
      <c r="A103" s="126">
        <v>42522</v>
      </c>
      <c r="B103" s="127">
        <f t="shared" si="4"/>
        <v>2.8391328595189096E-2</v>
      </c>
      <c r="C103" s="127">
        <f t="shared" si="5"/>
        <v>-0.21804328205642109</v>
      </c>
      <c r="D103" s="127">
        <f t="shared" si="6"/>
        <v>-0.14118589235731013</v>
      </c>
      <c r="E103" s="127">
        <f t="shared" si="7"/>
        <v>-9.0811823400444136E-2</v>
      </c>
      <c r="F103" s="127">
        <f t="shared" si="8"/>
        <v>-0.14324456401926355</v>
      </c>
      <c r="G103" s="127">
        <f t="shared" si="9"/>
        <v>-5.9761521746228917E-2</v>
      </c>
      <c r="H103" s="127">
        <f t="shared" si="10"/>
        <v>-4.7024330272819083E-2</v>
      </c>
      <c r="I103" s="127">
        <f t="shared" si="11"/>
        <v>-0.13641932616303357</v>
      </c>
      <c r="J103" s="127">
        <f t="shared" si="12"/>
        <v>-5.5194292116333303E-2</v>
      </c>
      <c r="K103" s="127">
        <f t="shared" si="13"/>
        <v>-0.14070975541819811</v>
      </c>
      <c r="L103" s="127">
        <f t="shared" si="14"/>
        <v>4.6409670088409551E-2</v>
      </c>
      <c r="M103" s="127">
        <f t="shared" si="15"/>
        <v>8.9435663120460918E-2</v>
      </c>
      <c r="N103" s="127">
        <f t="shared" si="16"/>
        <v>-0.18256444516181963</v>
      </c>
      <c r="O103" s="127">
        <f t="shared" si="17"/>
        <v>2.1001846850771805E-4</v>
      </c>
      <c r="P103" s="127">
        <f t="shared" si="18"/>
        <v>-3.5253459508622381E-2</v>
      </c>
      <c r="Q103" s="127">
        <f t="shared" si="19"/>
        <v>5.2387279307678572E-2</v>
      </c>
      <c r="R103" s="127">
        <f t="shared" si="20"/>
        <v>5.4404782494793689E-3</v>
      </c>
      <c r="S103" s="127">
        <f t="shared" si="21"/>
        <v>-7.8364522945314596E-2</v>
      </c>
      <c r="T103" s="127">
        <f t="shared" si="22"/>
        <v>0.18332134455887233</v>
      </c>
      <c r="U103" s="127">
        <f t="shared" si="23"/>
        <v>-2.5282611170563993E-2</v>
      </c>
      <c r="V103" s="127">
        <f t="shared" si="24"/>
        <v>4.8349532192166526E-2</v>
      </c>
      <c r="W103" s="127">
        <f t="shared" si="25"/>
        <v>9.9947238745300929E-4</v>
      </c>
      <c r="X103" s="127">
        <f t="shared" si="26"/>
        <v>2.4315680279780164E-2</v>
      </c>
      <c r="Y103" s="127">
        <f t="shared" si="27"/>
        <v>-9.8850387105339551E-3</v>
      </c>
      <c r="Z103" s="127">
        <f t="shared" si="28"/>
        <v>-0.12218268986496963</v>
      </c>
      <c r="AA103" s="127">
        <f t="shared" si="29"/>
        <v>-6.3859999244055443E-2</v>
      </c>
      <c r="AB103" s="127">
        <f t="shared" si="30"/>
        <v>-6.014271288757244E-2</v>
      </c>
      <c r="AC103" s="127">
        <f t="shared" si="31"/>
        <v>-0.12149048174916043</v>
      </c>
      <c r="AD103" s="127">
        <f t="shared" si="32"/>
        <v>-8.4700088995429607E-2</v>
      </c>
      <c r="AE103" s="127">
        <f t="shared" si="33"/>
        <v>-0.13140030313370488</v>
      </c>
      <c r="AF103" s="127">
        <f t="shared" si="34"/>
        <v>-6.3028300869761633E-2</v>
      </c>
    </row>
    <row r="104" spans="1:32" x14ac:dyDescent="0.3">
      <c r="A104" s="126">
        <v>42552</v>
      </c>
      <c r="B104" s="127">
        <f t="shared" si="4"/>
        <v>3.3437833440011075E-3</v>
      </c>
      <c r="C104" s="127">
        <f t="shared" si="5"/>
        <v>0.14728808925752948</v>
      </c>
      <c r="D104" s="127">
        <f t="shared" si="6"/>
        <v>-8.708344658516691E-2</v>
      </c>
      <c r="E104" s="127">
        <f t="shared" si="7"/>
        <v>0.14689532818978221</v>
      </c>
      <c r="F104" s="127">
        <f t="shared" si="8"/>
        <v>-1.4166911356055631E-3</v>
      </c>
      <c r="G104" s="127">
        <f t="shared" si="9"/>
        <v>4.9336392313483628E-2</v>
      </c>
      <c r="H104" s="127">
        <f t="shared" si="10"/>
        <v>5.1687054246765264E-2</v>
      </c>
      <c r="I104" s="127">
        <f t="shared" si="11"/>
        <v>0.128635479885644</v>
      </c>
      <c r="J104" s="127">
        <f t="shared" si="12"/>
        <v>0.11382057158600915</v>
      </c>
      <c r="K104" s="127">
        <f t="shared" si="13"/>
        <v>0.16009402756793478</v>
      </c>
      <c r="L104" s="127">
        <f t="shared" si="14"/>
        <v>1.1619572285325994E-2</v>
      </c>
      <c r="M104" s="127">
        <f t="shared" si="15"/>
        <v>0.11332230098357604</v>
      </c>
      <c r="N104" s="127">
        <f t="shared" si="16"/>
        <v>0.12292288722934532</v>
      </c>
      <c r="O104" s="127">
        <f t="shared" si="17"/>
        <v>5.3014514841787624E-2</v>
      </c>
      <c r="P104" s="127">
        <f t="shared" si="18"/>
        <v>0.30310379180836183</v>
      </c>
      <c r="Q104" s="127">
        <f t="shared" si="19"/>
        <v>7.0543920731869839E-2</v>
      </c>
      <c r="R104" s="127">
        <f t="shared" si="20"/>
        <v>7.4569490775766495E-2</v>
      </c>
      <c r="S104" s="127">
        <f t="shared" si="21"/>
        <v>1.1208508712096225E-2</v>
      </c>
      <c r="T104" s="127">
        <f t="shared" si="22"/>
        <v>0.10896907749177338</v>
      </c>
      <c r="U104" s="127">
        <f t="shared" si="23"/>
        <v>7.4691830789026581E-2</v>
      </c>
      <c r="V104" s="127">
        <f t="shared" si="24"/>
        <v>8.4681157994711792E-2</v>
      </c>
      <c r="W104" s="127">
        <f t="shared" si="25"/>
        <v>4.7309689275099279E-2</v>
      </c>
      <c r="X104" s="127">
        <f t="shared" si="26"/>
        <v>6.2647585977223447E-2</v>
      </c>
      <c r="Y104" s="127">
        <f t="shared" si="27"/>
        <v>2.4885748532915548E-2</v>
      </c>
      <c r="Z104" s="127">
        <f t="shared" si="28"/>
        <v>0.1099049594437618</v>
      </c>
      <c r="AA104" s="127">
        <f t="shared" si="29"/>
        <v>5.3829031749003602E-2</v>
      </c>
      <c r="AB104" s="127">
        <f t="shared" si="30"/>
        <v>8.1310185911849076E-2</v>
      </c>
      <c r="AC104" s="127">
        <f t="shared" si="31"/>
        <v>-1.1177762455031355E-2</v>
      </c>
      <c r="AD104" s="127">
        <f t="shared" si="32"/>
        <v>0.13904723838767757</v>
      </c>
      <c r="AE104" s="127">
        <f t="shared" si="33"/>
        <v>6.8885864679909406E-3</v>
      </c>
      <c r="AF104" s="127">
        <f t="shared" si="34"/>
        <v>6.1127222567788006E-2</v>
      </c>
    </row>
    <row r="105" spans="1:32" x14ac:dyDescent="0.3">
      <c r="A105" s="126">
        <v>42583</v>
      </c>
      <c r="B105" s="127">
        <f t="shared" si="4"/>
        <v>3.6880058273536964E-2</v>
      </c>
      <c r="C105" s="127">
        <f t="shared" si="5"/>
        <v>-1.2887729363443561E-2</v>
      </c>
      <c r="D105" s="127">
        <f t="shared" si="6"/>
        <v>-1.7304536354447349E-2</v>
      </c>
      <c r="E105" s="127">
        <f t="shared" si="7"/>
        <v>-3.5245263156139317E-3</v>
      </c>
      <c r="F105" s="127">
        <f t="shared" si="8"/>
        <v>3.478324712061702E-2</v>
      </c>
      <c r="G105" s="127">
        <f t="shared" si="9"/>
        <v>9.04041360720447E-2</v>
      </c>
      <c r="H105" s="127">
        <f t="shared" si="10"/>
        <v>5.5548301197261056E-2</v>
      </c>
      <c r="I105" s="127">
        <f t="shared" si="11"/>
        <v>2.1277407082143179E-2</v>
      </c>
      <c r="J105" s="127">
        <f t="shared" si="12"/>
        <v>2.6706651426929157E-3</v>
      </c>
      <c r="K105" s="127">
        <f t="shared" si="13"/>
        <v>1.4489778733813866E-2</v>
      </c>
      <c r="L105" s="127">
        <f t="shared" si="14"/>
        <v>-6.1908290407244625E-2</v>
      </c>
      <c r="M105" s="127">
        <f t="shared" si="15"/>
        <v>-4.9882137176520298E-3</v>
      </c>
      <c r="N105" s="127">
        <f t="shared" si="16"/>
        <v>-3.3829502614949915E-2</v>
      </c>
      <c r="O105" s="127">
        <f t="shared" si="17"/>
        <v>-6.1965823629932977E-2</v>
      </c>
      <c r="P105" s="127">
        <f t="shared" si="18"/>
        <v>4.9366054526396835E-2</v>
      </c>
      <c r="Q105" s="127">
        <f t="shared" si="19"/>
        <v>-2.4886024102363534E-2</v>
      </c>
      <c r="R105" s="127">
        <f t="shared" si="20"/>
        <v>-5.2501754148458535E-2</v>
      </c>
      <c r="S105" s="127">
        <f t="shared" si="21"/>
        <v>-5.7355446184258758E-2</v>
      </c>
      <c r="T105" s="127">
        <f t="shared" si="22"/>
        <v>-8.5814503948316981E-2</v>
      </c>
      <c r="U105" s="127">
        <f t="shared" si="23"/>
        <v>-1.4869253128503611E-2</v>
      </c>
      <c r="V105" s="127">
        <f t="shared" si="24"/>
        <v>-1.0076891427344293E-3</v>
      </c>
      <c r="W105" s="127">
        <f t="shared" si="25"/>
        <v>-2.9430780420835436E-2</v>
      </c>
      <c r="X105" s="127">
        <f t="shared" si="26"/>
        <v>-0.14718294976853039</v>
      </c>
      <c r="Y105" s="127">
        <f t="shared" si="27"/>
        <v>3.8444549051872862E-2</v>
      </c>
      <c r="Z105" s="127">
        <f t="shared" si="28"/>
        <v>9.9294641813400808E-3</v>
      </c>
      <c r="AA105" s="127">
        <f t="shared" si="29"/>
        <v>-7.1696002915600632E-2</v>
      </c>
      <c r="AB105" s="127">
        <f t="shared" si="30"/>
        <v>-1.6687946238151161E-2</v>
      </c>
      <c r="AC105" s="127">
        <f t="shared" si="31"/>
        <v>7.5613519056264497E-2</v>
      </c>
      <c r="AD105" s="127">
        <f t="shared" si="32"/>
        <v>2.8873784257582739E-2</v>
      </c>
      <c r="AE105" s="127">
        <f t="shared" si="33"/>
        <v>-3.1052612492171297E-2</v>
      </c>
      <c r="AF105" s="127">
        <f t="shared" si="34"/>
        <v>1.9806441211531883E-2</v>
      </c>
    </row>
    <row r="106" spans="1:32" x14ac:dyDescent="0.3">
      <c r="A106" s="126">
        <v>42614</v>
      </c>
      <c r="B106" s="127">
        <f t="shared" si="4"/>
        <v>2.9860459224597742E-2</v>
      </c>
      <c r="C106" s="127">
        <f t="shared" si="5"/>
        <v>-6.5059323876440048E-2</v>
      </c>
      <c r="D106" s="127">
        <f t="shared" si="6"/>
        <v>4.6107379560493079E-2</v>
      </c>
      <c r="E106" s="127">
        <f t="shared" si="7"/>
        <v>1.9077448684911603E-2</v>
      </c>
      <c r="F106" s="127">
        <f t="shared" si="8"/>
        <v>-1.6238148841452436E-2</v>
      </c>
      <c r="G106" s="127">
        <f t="shared" si="9"/>
        <v>-3.3921997879550907E-2</v>
      </c>
      <c r="H106" s="127">
        <f t="shared" si="10"/>
        <v>-2.7185839225329904E-2</v>
      </c>
      <c r="I106" s="127">
        <f t="shared" si="11"/>
        <v>1.0869262136364658E-2</v>
      </c>
      <c r="J106" s="127">
        <f t="shared" si="12"/>
        <v>3.2968814089994761E-2</v>
      </c>
      <c r="K106" s="127">
        <f t="shared" si="13"/>
        <v>-3.9778140816191548E-2</v>
      </c>
      <c r="L106" s="127">
        <f t="shared" si="14"/>
        <v>8.846535297657214E-3</v>
      </c>
      <c r="M106" s="127">
        <f t="shared" si="15"/>
        <v>1.67149830097717E-2</v>
      </c>
      <c r="N106" s="127">
        <f t="shared" si="16"/>
        <v>-2.4042758100632131E-3</v>
      </c>
      <c r="O106" s="127">
        <f t="shared" si="17"/>
        <v>-9.1588051072229171E-4</v>
      </c>
      <c r="P106" s="127">
        <f t="shared" si="18"/>
        <v>-1.492907786705111E-2</v>
      </c>
      <c r="Q106" s="127">
        <f t="shared" si="19"/>
        <v>-4.2795439959815482E-2</v>
      </c>
      <c r="R106" s="127">
        <f t="shared" si="20"/>
        <v>9.7906063561487254E-3</v>
      </c>
      <c r="S106" s="127">
        <f t="shared" si="21"/>
        <v>-4.0534697034268444E-2</v>
      </c>
      <c r="T106" s="127">
        <f t="shared" si="22"/>
        <v>3.9980856976212495E-2</v>
      </c>
      <c r="U106" s="127">
        <f t="shared" si="23"/>
        <v>-2.4491111801401101E-2</v>
      </c>
      <c r="V106" s="127">
        <f t="shared" si="24"/>
        <v>-4.8132026047801348E-2</v>
      </c>
      <c r="W106" s="127">
        <f t="shared" si="25"/>
        <v>-1.9500323985625633E-2</v>
      </c>
      <c r="X106" s="127">
        <f t="shared" si="26"/>
        <v>-0.13486821202580204</v>
      </c>
      <c r="Y106" s="127">
        <f t="shared" si="27"/>
        <v>4.464958013962881E-2</v>
      </c>
      <c r="Z106" s="127">
        <f t="shared" si="28"/>
        <v>3.7989311034042758E-3</v>
      </c>
      <c r="AA106" s="127">
        <f t="shared" si="29"/>
        <v>3.9285645071750796E-3</v>
      </c>
      <c r="AB106" s="127">
        <f t="shared" si="30"/>
        <v>3.943394393640938E-2</v>
      </c>
      <c r="AC106" s="127">
        <f t="shared" si="31"/>
        <v>1.9415502153305057E-2</v>
      </c>
      <c r="AD106" s="127">
        <f t="shared" si="32"/>
        <v>2.4744485646251597E-2</v>
      </c>
      <c r="AE106" s="127">
        <f t="shared" si="33"/>
        <v>3.1675117130197869E-2</v>
      </c>
      <c r="AF106" s="127">
        <f t="shared" si="34"/>
        <v>-1.2319548985599423E-2</v>
      </c>
    </row>
    <row r="107" spans="1:32" x14ac:dyDescent="0.3">
      <c r="A107" s="126">
        <v>42644</v>
      </c>
      <c r="B107" s="127">
        <f t="shared" si="4"/>
        <v>-3.1399353372477269E-2</v>
      </c>
      <c r="C107" s="127">
        <f t="shared" si="5"/>
        <v>6.5665864633944346E-2</v>
      </c>
      <c r="D107" s="127">
        <f t="shared" si="6"/>
        <v>0.14010243243936893</v>
      </c>
      <c r="E107" s="127">
        <f t="shared" si="7"/>
        <v>-1.641717848957305E-2</v>
      </c>
      <c r="F107" s="127">
        <f t="shared" si="8"/>
        <v>6.6946425259219178E-2</v>
      </c>
      <c r="G107" s="127">
        <f t="shared" si="9"/>
        <v>-1.4087346167284048E-2</v>
      </c>
      <c r="H107" s="127">
        <f t="shared" si="10"/>
        <v>8.0781752166347552E-3</v>
      </c>
      <c r="I107" s="127">
        <f t="shared" si="11"/>
        <v>3.5252983946846117E-2</v>
      </c>
      <c r="J107" s="127">
        <f t="shared" si="12"/>
        <v>1.2381977447494915E-2</v>
      </c>
      <c r="K107" s="127">
        <f t="shared" si="13"/>
        <v>6.1276214118187275E-2</v>
      </c>
      <c r="L107" s="127">
        <f t="shared" si="14"/>
        <v>-9.7051808517588822E-2</v>
      </c>
      <c r="M107" s="127">
        <f t="shared" si="15"/>
        <v>-5.3435257807820484E-2</v>
      </c>
      <c r="N107" s="127">
        <f t="shared" si="16"/>
        <v>7.5452701316013865E-2</v>
      </c>
      <c r="O107" s="127">
        <f t="shared" si="17"/>
        <v>-7.63150986345007E-3</v>
      </c>
      <c r="P107" s="127">
        <f t="shared" si="18"/>
        <v>2.6897869643700237E-2</v>
      </c>
      <c r="Q107" s="127">
        <f t="shared" si="19"/>
        <v>-5.8238116412661592E-2</v>
      </c>
      <c r="R107" s="127">
        <f t="shared" si="20"/>
        <v>-3.0453415512059483E-2</v>
      </c>
      <c r="S107" s="127">
        <f t="shared" si="21"/>
        <v>-3.0274138357627812E-2</v>
      </c>
      <c r="T107" s="127">
        <f t="shared" si="22"/>
        <v>-6.3954049275875557E-2</v>
      </c>
      <c r="U107" s="127">
        <f t="shared" si="23"/>
        <v>4.211359182414532E-2</v>
      </c>
      <c r="V107" s="127">
        <f t="shared" si="24"/>
        <v>-9.2660153220508759E-2</v>
      </c>
      <c r="W107" s="127">
        <f t="shared" si="25"/>
        <v>-4.6113317221766724E-2</v>
      </c>
      <c r="X107" s="127">
        <f t="shared" si="26"/>
        <v>5.8101501193111985E-2</v>
      </c>
      <c r="Y107" s="127">
        <f t="shared" si="27"/>
        <v>5.5148515548357049E-2</v>
      </c>
      <c r="Z107" s="127">
        <f t="shared" si="28"/>
        <v>-6.1900797627006933E-2</v>
      </c>
      <c r="AA107" s="127">
        <f t="shared" si="29"/>
        <v>3.7054752263412212E-2</v>
      </c>
      <c r="AB107" s="127">
        <f t="shared" si="30"/>
        <v>-7.0673953680701507E-2</v>
      </c>
      <c r="AC107" s="127">
        <f t="shared" si="31"/>
        <v>6.0311919444241885E-2</v>
      </c>
      <c r="AD107" s="127">
        <f t="shared" si="32"/>
        <v>3.4043727360260666E-3</v>
      </c>
      <c r="AE107" s="127">
        <f t="shared" si="33"/>
        <v>3.6835276165732414E-2</v>
      </c>
      <c r="AF107" s="127">
        <f t="shared" si="34"/>
        <v>9.964419945349804E-3</v>
      </c>
    </row>
    <row r="108" spans="1:32" x14ac:dyDescent="0.3">
      <c r="A108" s="126">
        <v>42675</v>
      </c>
      <c r="B108" s="127">
        <f t="shared" si="4"/>
        <v>-4.2116321061227216E-2</v>
      </c>
      <c r="C108" s="127">
        <f t="shared" si="5"/>
        <v>-3.003220439206733E-2</v>
      </c>
      <c r="D108" s="127">
        <f t="shared" si="6"/>
        <v>-8.7636400049296292E-3</v>
      </c>
      <c r="E108" s="127">
        <f t="shared" si="7"/>
        <v>-2.507274320300841E-2</v>
      </c>
      <c r="F108" s="127">
        <f t="shared" si="8"/>
        <v>4.8152592668096468E-2</v>
      </c>
      <c r="G108" s="127">
        <f t="shared" si="9"/>
        <v>2.3069211055037106E-2</v>
      </c>
      <c r="H108" s="127">
        <f t="shared" si="10"/>
        <v>3.7114100008320439E-2</v>
      </c>
      <c r="I108" s="127">
        <f t="shared" si="11"/>
        <v>-3.2911553724147009E-2</v>
      </c>
      <c r="J108" s="127">
        <f t="shared" si="12"/>
        <v>-5.3492913664989039E-2</v>
      </c>
      <c r="K108" s="127">
        <f t="shared" si="13"/>
        <v>1.5125400356990136E-2</v>
      </c>
      <c r="L108" s="127">
        <f t="shared" si="14"/>
        <v>-6.5824526241650499E-2</v>
      </c>
      <c r="M108" s="127">
        <f t="shared" si="15"/>
        <v>-9.2021773736762597E-2</v>
      </c>
      <c r="N108" s="127">
        <f t="shared" si="16"/>
        <v>-2.9441158939998519E-2</v>
      </c>
      <c r="O108" s="127">
        <f t="shared" si="17"/>
        <v>-3.8124245980599089E-2</v>
      </c>
      <c r="P108" s="127">
        <f t="shared" si="18"/>
        <v>8.9498485880804474E-2</v>
      </c>
      <c r="Q108" s="127">
        <f t="shared" si="19"/>
        <v>-6.1480189254439925E-2</v>
      </c>
      <c r="R108" s="127">
        <f t="shared" si="20"/>
        <v>2.6374540820992163E-3</v>
      </c>
      <c r="S108" s="127">
        <f t="shared" si="21"/>
        <v>6.1512847732666381E-2</v>
      </c>
      <c r="T108" s="127">
        <f t="shared" si="22"/>
        <v>-0.20231283599723904</v>
      </c>
      <c r="U108" s="127">
        <f t="shared" si="23"/>
        <v>2.9876927660157829E-2</v>
      </c>
      <c r="V108" s="127">
        <f t="shared" si="24"/>
        <v>-3.0014842587197714E-2</v>
      </c>
      <c r="W108" s="127">
        <f t="shared" si="25"/>
        <v>-7.6389552988368314E-3</v>
      </c>
      <c r="X108" s="127">
        <f t="shared" si="26"/>
        <v>-6.5626209309469247E-2</v>
      </c>
      <c r="Y108" s="127">
        <f t="shared" si="27"/>
        <v>1.0114626183123771E-2</v>
      </c>
      <c r="Z108" s="127">
        <f t="shared" si="28"/>
        <v>-3.4026672323284185E-2</v>
      </c>
      <c r="AA108" s="127">
        <f t="shared" si="29"/>
        <v>3.9595292963227571E-2</v>
      </c>
      <c r="AB108" s="127">
        <f t="shared" si="30"/>
        <v>1.4990564514587162E-3</v>
      </c>
      <c r="AC108" s="127">
        <f t="shared" si="31"/>
        <v>-3.4511413738832007E-2</v>
      </c>
      <c r="AD108" s="127">
        <f t="shared" si="32"/>
        <v>2.5075581960099496E-2</v>
      </c>
      <c r="AE108" s="127">
        <f t="shared" si="33"/>
        <v>5.4099521817504485E-2</v>
      </c>
      <c r="AF108" s="127">
        <f t="shared" si="34"/>
        <v>-6.8992495807433836E-3</v>
      </c>
    </row>
    <row r="109" spans="1:32" x14ac:dyDescent="0.3">
      <c r="A109" s="126">
        <v>42705</v>
      </c>
      <c r="B109" s="127">
        <f t="shared" si="4"/>
        <v>3.0812998587108481E-2</v>
      </c>
      <c r="C109" s="127">
        <f t="shared" si="5"/>
        <v>8.8096794350360899E-2</v>
      </c>
      <c r="D109" s="127">
        <f t="shared" si="6"/>
        <v>-4.2221967056004853E-3</v>
      </c>
      <c r="E109" s="127">
        <f t="shared" si="7"/>
        <v>4.0642806907520514E-2</v>
      </c>
      <c r="F109" s="127">
        <f t="shared" si="8"/>
        <v>4.1623313451426822E-2</v>
      </c>
      <c r="G109" s="127">
        <f t="shared" si="9"/>
        <v>8.440031835138645E-2</v>
      </c>
      <c r="H109" s="127">
        <f t="shared" si="10"/>
        <v>5.1096221590834025E-2</v>
      </c>
      <c r="I109" s="127">
        <f t="shared" si="11"/>
        <v>0.12018270392095452</v>
      </c>
      <c r="J109" s="127">
        <f t="shared" si="12"/>
        <v>2.7826044606192382E-2</v>
      </c>
      <c r="K109" s="127">
        <f t="shared" si="13"/>
        <v>0.10079219869518416</v>
      </c>
      <c r="L109" s="127">
        <f t="shared" si="14"/>
        <v>-2.4295751654372703E-2</v>
      </c>
      <c r="M109" s="127">
        <f t="shared" si="15"/>
        <v>5.7292427129910194E-2</v>
      </c>
      <c r="N109" s="127">
        <f t="shared" si="16"/>
        <v>7.5953748614030522E-2</v>
      </c>
      <c r="O109" s="127">
        <f t="shared" si="17"/>
        <v>-4.5532937920149535E-3</v>
      </c>
      <c r="P109" s="127">
        <f t="shared" si="18"/>
        <v>0.36667292118595102</v>
      </c>
      <c r="Q109" s="127">
        <f t="shared" si="19"/>
        <v>6.9744220701394074E-3</v>
      </c>
      <c r="R109" s="127">
        <f t="shared" si="20"/>
        <v>4.089646207311929E-2</v>
      </c>
      <c r="S109" s="127">
        <f t="shared" si="21"/>
        <v>3.436356460083121E-2</v>
      </c>
      <c r="T109" s="127">
        <f t="shared" si="22"/>
        <v>-9.2125279562404946E-3</v>
      </c>
      <c r="U109" s="127">
        <f t="shared" si="23"/>
        <v>8.9585000831513828E-2</v>
      </c>
      <c r="V109" s="127">
        <f t="shared" si="24"/>
        <v>1.8929836313647093E-2</v>
      </c>
      <c r="W109" s="127">
        <f t="shared" si="25"/>
        <v>8.960577865193653E-2</v>
      </c>
      <c r="X109" s="127">
        <f t="shared" si="26"/>
        <v>7.5348511416259867E-2</v>
      </c>
      <c r="Y109" s="127">
        <f t="shared" si="27"/>
        <v>8.8086218094753727E-2</v>
      </c>
      <c r="Z109" s="127">
        <f t="shared" si="28"/>
        <v>0.10071623733809093</v>
      </c>
      <c r="AA109" s="127">
        <f t="shared" si="29"/>
        <v>0.12141145698489814</v>
      </c>
      <c r="AB109" s="127">
        <f t="shared" si="30"/>
        <v>5.1912067918049788E-2</v>
      </c>
      <c r="AC109" s="127">
        <f t="shared" si="31"/>
        <v>3.4859462152336242E-2</v>
      </c>
      <c r="AD109" s="127">
        <f t="shared" si="32"/>
        <v>6.494269974655939E-2</v>
      </c>
      <c r="AE109" s="127">
        <f t="shared" si="33"/>
        <v>5.4383048470157638E-2</v>
      </c>
      <c r="AF109" s="127">
        <f t="shared" si="34"/>
        <v>7.1470403102795468E-2</v>
      </c>
    </row>
    <row r="110" spans="1:32" x14ac:dyDescent="0.3">
      <c r="A110" s="126">
        <v>42736</v>
      </c>
      <c r="B110" s="127">
        <f t="shared" si="4"/>
        <v>-1.4708724077137646E-2</v>
      </c>
      <c r="C110" s="127">
        <f t="shared" si="5"/>
        <v>7.3641262263433108E-2</v>
      </c>
      <c r="D110" s="127">
        <f t="shared" si="6"/>
        <v>0.3296306789704293</v>
      </c>
      <c r="E110" s="127">
        <f t="shared" si="7"/>
        <v>1.3761676792697478E-2</v>
      </c>
      <c r="F110" s="127">
        <f t="shared" si="8"/>
        <v>-6.5961182457625169E-3</v>
      </c>
      <c r="G110" s="127">
        <f t="shared" si="9"/>
        <v>-1.1688913922852488E-2</v>
      </c>
      <c r="H110" s="127">
        <f t="shared" si="10"/>
        <v>-1.555515680342525E-2</v>
      </c>
      <c r="I110" s="127">
        <f t="shared" si="11"/>
        <v>-1.8790058112149063E-2</v>
      </c>
      <c r="J110" s="127">
        <f t="shared" si="12"/>
        <v>1.1261779843687675E-2</v>
      </c>
      <c r="K110" s="127">
        <f t="shared" si="13"/>
        <v>-5.087754823232378E-2</v>
      </c>
      <c r="L110" s="127">
        <f t="shared" si="14"/>
        <v>-0.11687977563154603</v>
      </c>
      <c r="M110" s="127">
        <f t="shared" si="15"/>
        <v>-5.0296745192632983E-2</v>
      </c>
      <c r="N110" s="127">
        <f t="shared" si="16"/>
        <v>6.7527473542858527E-2</v>
      </c>
      <c r="O110" s="127">
        <f t="shared" si="17"/>
        <v>0.17363268571147791</v>
      </c>
      <c r="P110" s="127">
        <f t="shared" si="18"/>
        <v>0.18882291980083704</v>
      </c>
      <c r="Q110" s="127">
        <f t="shared" si="19"/>
        <v>-2.9599003275403546E-2</v>
      </c>
      <c r="R110" s="127">
        <f t="shared" si="20"/>
        <v>1.818731758095524E-2</v>
      </c>
      <c r="S110" s="127">
        <f t="shared" si="21"/>
        <v>6.4332443853100579E-2</v>
      </c>
      <c r="T110" s="127">
        <f t="shared" si="22"/>
        <v>3.1839494148780949E-2</v>
      </c>
      <c r="U110" s="127">
        <f t="shared" si="23"/>
        <v>-4.980419033078577E-3</v>
      </c>
      <c r="V110" s="127">
        <f t="shared" si="24"/>
        <v>2.4461369830130874E-3</v>
      </c>
      <c r="W110" s="127">
        <f t="shared" si="25"/>
        <v>-6.5673618627986444E-2</v>
      </c>
      <c r="X110" s="127">
        <f t="shared" si="26"/>
        <v>6.0604575469050584E-2</v>
      </c>
      <c r="Y110" s="127">
        <f t="shared" si="27"/>
        <v>1.0688981573204264E-2</v>
      </c>
      <c r="Z110" s="127">
        <f t="shared" si="28"/>
        <v>-8.6673914505112394E-3</v>
      </c>
      <c r="AA110" s="127">
        <f t="shared" si="29"/>
        <v>8.5247631399223596E-3</v>
      </c>
      <c r="AB110" s="127">
        <f t="shared" si="30"/>
        <v>9.8261492592649685E-2</v>
      </c>
      <c r="AC110" s="127">
        <f t="shared" si="31"/>
        <v>-3.4476122139555448E-2</v>
      </c>
      <c r="AD110" s="127">
        <f t="shared" si="32"/>
        <v>4.0428242211104026E-2</v>
      </c>
      <c r="AE110" s="127">
        <f t="shared" si="33"/>
        <v>-3.6278056555501485E-3</v>
      </c>
      <c r="AF110" s="127">
        <f t="shared" si="34"/>
        <v>1.3440585395995894E-4</v>
      </c>
    </row>
    <row r="111" spans="1:32" x14ac:dyDescent="0.3">
      <c r="A111" s="126">
        <v>42767</v>
      </c>
      <c r="B111" s="127">
        <f t="shared" si="4"/>
        <v>4.4254301846133021E-2</v>
      </c>
      <c r="C111" s="127">
        <f t="shared" si="5"/>
        <v>-3.2121448632271864E-2</v>
      </c>
      <c r="D111" s="127">
        <f t="shared" si="6"/>
        <v>0.17820116114618795</v>
      </c>
      <c r="E111" s="127">
        <f t="shared" si="7"/>
        <v>3.0501347657844215E-2</v>
      </c>
      <c r="F111" s="127">
        <f t="shared" si="8"/>
        <v>4.0792668288258262E-2</v>
      </c>
      <c r="G111" s="127">
        <f t="shared" si="9"/>
        <v>4.7936678686706154E-2</v>
      </c>
      <c r="H111" s="127">
        <f t="shared" si="10"/>
        <v>3.8293018974496287E-2</v>
      </c>
      <c r="I111" s="127">
        <f t="shared" si="11"/>
        <v>-9.5184781247352711E-3</v>
      </c>
      <c r="J111" s="127">
        <f t="shared" si="12"/>
        <v>-2.8642947182743586E-2</v>
      </c>
      <c r="K111" s="127">
        <f t="shared" si="13"/>
        <v>4.480641853767316E-3</v>
      </c>
      <c r="L111" s="127">
        <f t="shared" si="14"/>
        <v>4.9521045109631533E-2</v>
      </c>
      <c r="M111" s="127">
        <f t="shared" si="15"/>
        <v>6.4048561806144461E-2</v>
      </c>
      <c r="N111" s="127">
        <f t="shared" si="16"/>
        <v>-6.4883209757254562E-2</v>
      </c>
      <c r="O111" s="127">
        <f t="shared" si="17"/>
        <v>0.12128922678176632</v>
      </c>
      <c r="P111" s="127">
        <f t="shared" si="18"/>
        <v>3.2716919628586624E-2</v>
      </c>
      <c r="Q111" s="127">
        <f t="shared" si="19"/>
        <v>7.4335167002332378E-2</v>
      </c>
      <c r="R111" s="127">
        <f t="shared" si="20"/>
        <v>7.9343319153096503E-3</v>
      </c>
      <c r="S111" s="127">
        <f t="shared" si="21"/>
        <v>-3.6009509278313548E-2</v>
      </c>
      <c r="T111" s="127">
        <f t="shared" si="22"/>
        <v>8.9126340687708486E-2</v>
      </c>
      <c r="U111" s="127">
        <f t="shared" si="23"/>
        <v>6.7663617547231977E-2</v>
      </c>
      <c r="V111" s="127">
        <f t="shared" si="24"/>
        <v>6.5673446241101052E-2</v>
      </c>
      <c r="W111" s="127">
        <f t="shared" si="25"/>
        <v>4.3002971787974041E-2</v>
      </c>
      <c r="X111" s="127">
        <f t="shared" si="26"/>
        <v>3.4498049669991621E-2</v>
      </c>
      <c r="Y111" s="127">
        <f t="shared" si="27"/>
        <v>-1.2225414612901284E-2</v>
      </c>
      <c r="Z111" s="127">
        <f t="shared" si="28"/>
        <v>6.5848014194903923E-2</v>
      </c>
      <c r="AA111" s="127">
        <f t="shared" si="29"/>
        <v>-6.9763468265382211E-2</v>
      </c>
      <c r="AB111" s="127">
        <f t="shared" si="30"/>
        <v>2.0815632923461572E-2</v>
      </c>
      <c r="AC111" s="127">
        <f t="shared" si="31"/>
        <v>1.9680295536109026E-2</v>
      </c>
      <c r="AD111" s="127">
        <f t="shared" si="32"/>
        <v>2.0199239347838044E-2</v>
      </c>
      <c r="AE111" s="127">
        <f t="shared" si="33"/>
        <v>5.5607969482293546E-2</v>
      </c>
      <c r="AF111" s="127">
        <f t="shared" si="34"/>
        <v>2.1018984580006197E-2</v>
      </c>
    </row>
    <row r="112" spans="1:32" x14ac:dyDescent="0.3">
      <c r="A112" s="126">
        <v>42795</v>
      </c>
      <c r="B112" s="127">
        <f t="shared" si="4"/>
        <v>2.4285624869292248E-2</v>
      </c>
      <c r="C112" s="127">
        <f t="shared" si="5"/>
        <v>-2.4940420128092167E-2</v>
      </c>
      <c r="D112" s="127">
        <f t="shared" si="6"/>
        <v>-0.25020863584457415</v>
      </c>
      <c r="E112" s="127">
        <f t="shared" si="7"/>
        <v>3.6824381084502159E-2</v>
      </c>
      <c r="F112" s="127">
        <f t="shared" si="8"/>
        <v>5.063516135799323E-2</v>
      </c>
      <c r="G112" s="127">
        <f t="shared" si="9"/>
        <v>3.7680039710717511E-2</v>
      </c>
      <c r="H112" s="127">
        <f t="shared" si="10"/>
        <v>-1.4925320701533001E-2</v>
      </c>
      <c r="I112" s="127">
        <f t="shared" si="11"/>
        <v>8.8976209003155341E-3</v>
      </c>
      <c r="J112" s="127">
        <f t="shared" si="12"/>
        <v>0.11352693130932547</v>
      </c>
      <c r="K112" s="127">
        <f t="shared" si="13"/>
        <v>1.5528756890045289E-2</v>
      </c>
      <c r="L112" s="127">
        <f t="shared" si="14"/>
        <v>-4.9489995459693764E-3</v>
      </c>
      <c r="M112" s="127">
        <f t="shared" si="15"/>
        <v>9.8475611320031936E-2</v>
      </c>
      <c r="N112" s="127">
        <f t="shared" si="16"/>
        <v>-2.2181582035387962E-2</v>
      </c>
      <c r="O112" s="127">
        <f t="shared" si="17"/>
        <v>0.1256139930957183</v>
      </c>
      <c r="P112" s="127">
        <f t="shared" si="18"/>
        <v>-2.6513016161601489E-2</v>
      </c>
      <c r="Q112" s="127">
        <f t="shared" si="19"/>
        <v>-4.4287909632731515E-3</v>
      </c>
      <c r="R112" s="127">
        <f t="shared" si="20"/>
        <v>2.8059319481238139E-2</v>
      </c>
      <c r="S112" s="127">
        <f t="shared" si="21"/>
        <v>6.2123592256056501E-2</v>
      </c>
      <c r="T112" s="127">
        <f t="shared" si="22"/>
        <v>0.1387345891124068</v>
      </c>
      <c r="U112" s="127">
        <f t="shared" si="23"/>
        <v>5.5474599346976728E-3</v>
      </c>
      <c r="V112" s="127">
        <f t="shared" si="24"/>
        <v>-5.6856362684934797E-2</v>
      </c>
      <c r="W112" s="127">
        <f t="shared" si="25"/>
        <v>6.9601299022256083E-3</v>
      </c>
      <c r="X112" s="127">
        <f t="shared" si="26"/>
        <v>1.8855834311609289E-2</v>
      </c>
      <c r="Y112" s="127">
        <f t="shared" si="27"/>
        <v>5.7097660086018361E-2</v>
      </c>
      <c r="Z112" s="127">
        <f t="shared" si="28"/>
        <v>7.8356628487974506E-2</v>
      </c>
      <c r="AA112" s="127">
        <f t="shared" si="29"/>
        <v>3.21853625280972E-2</v>
      </c>
      <c r="AB112" s="127">
        <f t="shared" si="30"/>
        <v>-2.5363107319918275E-2</v>
      </c>
      <c r="AC112" s="127">
        <f t="shared" si="31"/>
        <v>2.3167041018884112E-2</v>
      </c>
      <c r="AD112" s="127">
        <f t="shared" si="32"/>
        <v>-1.7943629149018835E-2</v>
      </c>
      <c r="AE112" s="127">
        <f t="shared" si="33"/>
        <v>-2.4006075163375905E-2</v>
      </c>
      <c r="AF112" s="127">
        <f t="shared" si="34"/>
        <v>3.5054028202230927E-2</v>
      </c>
    </row>
    <row r="113" spans="1:32" x14ac:dyDescent="0.3">
      <c r="A113" s="126">
        <v>42826</v>
      </c>
      <c r="B113" s="127">
        <f t="shared" si="4"/>
        <v>2.9369835697620476E-2</v>
      </c>
      <c r="C113" s="127">
        <f t="shared" si="5"/>
        <v>6.0962622053076843E-2</v>
      </c>
      <c r="D113" s="127">
        <f t="shared" si="6"/>
        <v>-0.19662484631744107</v>
      </c>
      <c r="E113" s="127">
        <f t="shared" si="7"/>
        <v>-7.0003146557316327E-3</v>
      </c>
      <c r="F113" s="127">
        <f t="shared" si="8"/>
        <v>1.2792632175900485E-3</v>
      </c>
      <c r="G113" s="127">
        <f t="shared" si="9"/>
        <v>1.7647899165633758E-2</v>
      </c>
      <c r="H113" s="127">
        <f t="shared" si="10"/>
        <v>2.0788172811591295E-2</v>
      </c>
      <c r="I113" s="127">
        <f t="shared" si="11"/>
        <v>-1.0855824538720717E-2</v>
      </c>
      <c r="J113" s="127">
        <f t="shared" si="12"/>
        <v>-2.5260634368330721E-2</v>
      </c>
      <c r="K113" s="127">
        <f t="shared" si="13"/>
        <v>2.6825600099096174E-2</v>
      </c>
      <c r="L113" s="127">
        <f t="shared" si="14"/>
        <v>-5.7096313400831725E-2</v>
      </c>
      <c r="M113" s="127">
        <f t="shared" si="15"/>
        <v>1.1056172572443294E-2</v>
      </c>
      <c r="N113" s="127">
        <f t="shared" si="16"/>
        <v>4.6407863602680288E-2</v>
      </c>
      <c r="O113" s="127">
        <f t="shared" si="17"/>
        <v>9.3047837758865715E-2</v>
      </c>
      <c r="P113" s="127">
        <f t="shared" si="18"/>
        <v>-4.6613671562871842E-2</v>
      </c>
      <c r="Q113" s="127">
        <f t="shared" si="19"/>
        <v>-2.3386395804567738E-3</v>
      </c>
      <c r="R113" s="127">
        <f t="shared" si="20"/>
        <v>2.6053644212067897E-3</v>
      </c>
      <c r="S113" s="127">
        <f t="shared" si="21"/>
        <v>3.1787759929177845E-2</v>
      </c>
      <c r="T113" s="127">
        <f t="shared" si="22"/>
        <v>-2.662573248687209E-2</v>
      </c>
      <c r="U113" s="127">
        <f t="shared" si="23"/>
        <v>6.4295782234506466E-2</v>
      </c>
      <c r="V113" s="127">
        <f t="shared" si="24"/>
        <v>9.1472514600180691E-3</v>
      </c>
      <c r="W113" s="127">
        <f t="shared" si="25"/>
        <v>3.0523702340948089E-2</v>
      </c>
      <c r="X113" s="127">
        <f t="shared" si="26"/>
        <v>-3.7086733600212599E-2</v>
      </c>
      <c r="Y113" s="127">
        <f t="shared" si="27"/>
        <v>-3.6388753022565147E-2</v>
      </c>
      <c r="Z113" s="127">
        <f t="shared" si="28"/>
        <v>7.798403172385969E-3</v>
      </c>
      <c r="AA113" s="127">
        <f t="shared" si="29"/>
        <v>1.4907129037793107E-2</v>
      </c>
      <c r="AB113" s="127">
        <f t="shared" si="30"/>
        <v>0.18151141375228333</v>
      </c>
      <c r="AC113" s="127">
        <f t="shared" si="31"/>
        <v>-4.3004411345501078E-2</v>
      </c>
      <c r="AD113" s="127">
        <f t="shared" si="32"/>
        <v>-3.9545577271793385E-2</v>
      </c>
      <c r="AE113" s="127">
        <f t="shared" si="33"/>
        <v>-3.0354889420526579E-3</v>
      </c>
      <c r="AF113" s="127">
        <f t="shared" si="34"/>
        <v>5.5324108449436495E-3</v>
      </c>
    </row>
    <row r="114" spans="1:32" x14ac:dyDescent="0.3">
      <c r="A114" s="126">
        <v>42856</v>
      </c>
      <c r="B114" s="127">
        <f t="shared" si="4"/>
        <v>3.2210466868884825E-2</v>
      </c>
      <c r="C114" s="127">
        <f t="shared" si="5"/>
        <v>-8.7047385417382078E-2</v>
      </c>
      <c r="D114" s="127">
        <f t="shared" si="6"/>
        <v>2.1242541897384469E-2</v>
      </c>
      <c r="E114" s="127">
        <f t="shared" si="7"/>
        <v>2.7970310646197899E-2</v>
      </c>
      <c r="F114" s="127">
        <f t="shared" si="8"/>
        <v>-2.7885293913651937E-2</v>
      </c>
      <c r="G114" s="127">
        <f t="shared" si="9"/>
        <v>-4.2101421804421703E-2</v>
      </c>
      <c r="H114" s="127">
        <f t="shared" si="10"/>
        <v>-2.1204157340336687E-2</v>
      </c>
      <c r="I114" s="127">
        <f t="shared" si="11"/>
        <v>-5.6231413602032349E-2</v>
      </c>
      <c r="J114" s="127">
        <f t="shared" si="12"/>
        <v>1.8275015576477545E-2</v>
      </c>
      <c r="K114" s="127">
        <f t="shared" si="13"/>
        <v>-4.8915800520277684E-2</v>
      </c>
      <c r="L114" s="127">
        <f t="shared" si="14"/>
        <v>0.10521624462742971</v>
      </c>
      <c r="M114" s="127">
        <f t="shared" si="15"/>
        <v>-9.6992620749391051E-2</v>
      </c>
      <c r="N114" s="127">
        <f t="shared" si="16"/>
        <v>-5.537881470028122E-2</v>
      </c>
      <c r="O114" s="127">
        <f t="shared" si="17"/>
        <v>-1.1643909970825834E-2</v>
      </c>
      <c r="P114" s="127">
        <f t="shared" si="18"/>
        <v>0.20706074278838432</v>
      </c>
      <c r="Q114" s="127">
        <f t="shared" si="19"/>
        <v>4.2060210923031117E-2</v>
      </c>
      <c r="R114" s="127">
        <f t="shared" si="20"/>
        <v>-9.9664029139726693E-3</v>
      </c>
      <c r="S114" s="127">
        <f t="shared" si="21"/>
        <v>1.8935070581801192E-2</v>
      </c>
      <c r="T114" s="127">
        <f t="shared" si="22"/>
        <v>0.16841143366749167</v>
      </c>
      <c r="U114" s="127">
        <f t="shared" si="23"/>
        <v>-5.9284610954102875E-2</v>
      </c>
      <c r="V114" s="127">
        <f t="shared" si="24"/>
        <v>9.9013079237763091E-2</v>
      </c>
      <c r="W114" s="127">
        <f t="shared" si="25"/>
        <v>4.5157435925599287E-2</v>
      </c>
      <c r="X114" s="127">
        <f t="shared" si="26"/>
        <v>8.6948196728803814E-2</v>
      </c>
      <c r="Y114" s="127">
        <f t="shared" si="27"/>
        <v>-6.3322820557028592E-2</v>
      </c>
      <c r="Z114" s="127">
        <f t="shared" si="28"/>
        <v>-2.9380600069368046E-2</v>
      </c>
      <c r="AA114" s="127">
        <f t="shared" si="29"/>
        <v>-6.2448809012619812E-3</v>
      </c>
      <c r="AB114" s="127">
        <f t="shared" si="30"/>
        <v>-4.1898858469261502E-2</v>
      </c>
      <c r="AC114" s="127">
        <f t="shared" si="31"/>
        <v>-1.13163067789686E-2</v>
      </c>
      <c r="AD114" s="127">
        <f t="shared" si="32"/>
        <v>8.6561379780209016E-2</v>
      </c>
      <c r="AE114" s="127">
        <f t="shared" si="33"/>
        <v>-7.8789353749452399E-3</v>
      </c>
      <c r="AF114" s="127">
        <f t="shared" si="34"/>
        <v>9.554592639028239E-3</v>
      </c>
    </row>
    <row r="115" spans="1:32" x14ac:dyDescent="0.3">
      <c r="A115" s="126">
        <v>42887</v>
      </c>
      <c r="B115" s="127">
        <f t="shared" si="4"/>
        <v>-4.2000373211078884E-2</v>
      </c>
      <c r="C115" s="127">
        <f t="shared" si="5"/>
        <v>-5.4952361499584386E-3</v>
      </c>
      <c r="D115" s="127">
        <f t="shared" si="6"/>
        <v>-1.8201171231969338E-2</v>
      </c>
      <c r="E115" s="127">
        <f t="shared" si="7"/>
        <v>-5.0683712796494251E-2</v>
      </c>
      <c r="F115" s="127">
        <f t="shared" si="8"/>
        <v>3.4173472942854166E-3</v>
      </c>
      <c r="G115" s="127">
        <f t="shared" si="9"/>
        <v>-6.1107608116300366E-2</v>
      </c>
      <c r="H115" s="127">
        <f t="shared" si="10"/>
        <v>2.630920428868558E-3</v>
      </c>
      <c r="I115" s="127">
        <f t="shared" si="11"/>
        <v>-1.8606420778250126E-2</v>
      </c>
      <c r="J115" s="127">
        <f t="shared" si="12"/>
        <v>-8.0277745160117056E-2</v>
      </c>
      <c r="K115" s="127">
        <f t="shared" si="13"/>
        <v>-2.2321193217360716E-2</v>
      </c>
      <c r="L115" s="127">
        <f t="shared" si="14"/>
        <v>-6.9057704134315834E-2</v>
      </c>
      <c r="M115" s="127">
        <f t="shared" si="15"/>
        <v>-3.4661603346567905E-2</v>
      </c>
      <c r="N115" s="127">
        <f t="shared" si="16"/>
        <v>-3.7778779313132602E-2</v>
      </c>
      <c r="O115" s="127">
        <f t="shared" si="17"/>
        <v>2.1143344084381524E-2</v>
      </c>
      <c r="P115" s="127">
        <f t="shared" si="18"/>
        <v>6.047438329752397E-2</v>
      </c>
      <c r="Q115" s="127">
        <f t="shared" si="19"/>
        <v>-1.469962084309916E-2</v>
      </c>
      <c r="R115" s="127">
        <f t="shared" si="20"/>
        <v>-2.2662172689727544E-2</v>
      </c>
      <c r="S115" s="127">
        <f t="shared" si="21"/>
        <v>-1.0564720594645227E-2</v>
      </c>
      <c r="T115" s="127">
        <f t="shared" si="22"/>
        <v>-4.0225617874757667E-2</v>
      </c>
      <c r="U115" s="127">
        <f t="shared" si="23"/>
        <v>-2.9101077011949007E-2</v>
      </c>
      <c r="V115" s="127">
        <f t="shared" si="24"/>
        <v>-4.9370125045064363E-2</v>
      </c>
      <c r="W115" s="127">
        <f t="shared" si="25"/>
        <v>-1.1078345853419101E-2</v>
      </c>
      <c r="X115" s="127">
        <f t="shared" si="26"/>
        <v>5.9989658282633987E-2</v>
      </c>
      <c r="Y115" s="127">
        <f t="shared" si="27"/>
        <v>-3.1792014741324842E-2</v>
      </c>
      <c r="Z115" s="127">
        <f t="shared" si="28"/>
        <v>-3.8986197726651399E-2</v>
      </c>
      <c r="AA115" s="127">
        <f t="shared" si="29"/>
        <v>-1.0461302210194815E-3</v>
      </c>
      <c r="AB115" s="127">
        <f t="shared" si="30"/>
        <v>-6.4653167888366822E-2</v>
      </c>
      <c r="AC115" s="127">
        <f t="shared" si="31"/>
        <v>4.1629164941761635E-3</v>
      </c>
      <c r="AD115" s="127">
        <f t="shared" si="32"/>
        <v>6.1943428204737118E-2</v>
      </c>
      <c r="AE115" s="127">
        <f t="shared" si="33"/>
        <v>-1.1862145620758491E-2</v>
      </c>
      <c r="AF115" s="127">
        <f t="shared" si="34"/>
        <v>-2.7831521150702251E-2</v>
      </c>
    </row>
    <row r="116" spans="1:32" x14ac:dyDescent="0.3">
      <c r="A116" s="126">
        <v>42917</v>
      </c>
      <c r="B116" s="127">
        <f t="shared" si="4"/>
        <v>5.682605785198692E-3</v>
      </c>
      <c r="C116" s="127">
        <f t="shared" si="5"/>
        <v>-2.7173966111429443E-2</v>
      </c>
      <c r="D116" s="127">
        <f t="shared" si="6"/>
        <v>-6.7438739789654062E-2</v>
      </c>
      <c r="E116" s="127">
        <f t="shared" si="7"/>
        <v>-2.7522905916678511E-2</v>
      </c>
      <c r="F116" s="127">
        <f t="shared" si="8"/>
        <v>3.781807184685549E-2</v>
      </c>
      <c r="G116" s="127">
        <f t="shared" si="9"/>
        <v>-5.4595081911792048E-2</v>
      </c>
      <c r="H116" s="127">
        <f t="shared" si="10"/>
        <v>-7.1614508253133469E-3</v>
      </c>
      <c r="I116" s="127">
        <f t="shared" si="11"/>
        <v>-6.5777692159750906E-2</v>
      </c>
      <c r="J116" s="127">
        <f t="shared" si="12"/>
        <v>-2.2819904690919896E-2</v>
      </c>
      <c r="K116" s="127">
        <f t="shared" si="13"/>
        <v>-4.2808717709304368E-2</v>
      </c>
      <c r="L116" s="127">
        <f t="shared" si="14"/>
        <v>-0.14317755313583647</v>
      </c>
      <c r="M116" s="127">
        <f t="shared" si="15"/>
        <v>0.12034697888435716</v>
      </c>
      <c r="N116" s="127">
        <f t="shared" si="16"/>
        <v>-1.9021540453668374E-2</v>
      </c>
      <c r="O116" s="127">
        <f t="shared" si="17"/>
        <v>-0.12798083246929648</v>
      </c>
      <c r="P116" s="127">
        <f t="shared" si="18"/>
        <v>-3.7599114233539045E-2</v>
      </c>
      <c r="Q116" s="127">
        <f t="shared" si="19"/>
        <v>-2.3165177666223336E-2</v>
      </c>
      <c r="R116" s="127">
        <f t="shared" si="20"/>
        <v>-0.13680689765526807</v>
      </c>
      <c r="S116" s="127">
        <f t="shared" si="21"/>
        <v>-5.4274041137105537E-2</v>
      </c>
      <c r="T116" s="127">
        <f t="shared" si="22"/>
        <v>1.6046027138609441E-2</v>
      </c>
      <c r="U116" s="127">
        <f t="shared" si="23"/>
        <v>-8.6028766327150095E-3</v>
      </c>
      <c r="V116" s="127">
        <f t="shared" si="24"/>
        <v>-7.5572808797761629E-3</v>
      </c>
      <c r="W116" s="127">
        <f t="shared" si="25"/>
        <v>-5.2825448954920251E-2</v>
      </c>
      <c r="X116" s="127">
        <f t="shared" si="26"/>
        <v>1.5862544568721777E-2</v>
      </c>
      <c r="Y116" s="127">
        <f t="shared" si="27"/>
        <v>-4.6265197451047279E-3</v>
      </c>
      <c r="Z116" s="127">
        <f t="shared" si="28"/>
        <v>1.5968167943643752E-2</v>
      </c>
      <c r="AA116" s="127">
        <f t="shared" si="29"/>
        <v>2.8796631085188443E-2</v>
      </c>
      <c r="AB116" s="127">
        <f t="shared" si="30"/>
        <v>-1.4208799405700074E-2</v>
      </c>
      <c r="AC116" s="127">
        <f t="shared" si="31"/>
        <v>1.5959280957131963E-2</v>
      </c>
      <c r="AD116" s="127">
        <f t="shared" si="32"/>
        <v>1.7954603938532231E-2</v>
      </c>
      <c r="AE116" s="127">
        <f t="shared" si="33"/>
        <v>6.030926430165659E-2</v>
      </c>
      <c r="AF116" s="127">
        <f t="shared" si="34"/>
        <v>-2.1506514428703355E-2</v>
      </c>
    </row>
    <row r="117" spans="1:32" x14ac:dyDescent="0.3">
      <c r="A117" s="126">
        <v>42948</v>
      </c>
      <c r="B117" s="127">
        <f t="shared" si="4"/>
        <v>-4.4205992368014202E-2</v>
      </c>
      <c r="C117" s="127">
        <f t="shared" si="5"/>
        <v>-3.9693661916022978E-2</v>
      </c>
      <c r="D117" s="127">
        <f t="shared" si="6"/>
        <v>8.8878464685169051E-2</v>
      </c>
      <c r="E117" s="127">
        <f t="shared" si="7"/>
        <v>-2.5753555665479114E-2</v>
      </c>
      <c r="F117" s="127">
        <f t="shared" si="8"/>
        <v>-6.7112751028163458E-3</v>
      </c>
      <c r="G117" s="127">
        <f t="shared" si="9"/>
        <v>-5.1002738480896696E-2</v>
      </c>
      <c r="H117" s="127">
        <f t="shared" si="10"/>
        <v>5.4072741262968627E-2</v>
      </c>
      <c r="I117" s="127">
        <f t="shared" si="11"/>
        <v>3.296882122698503E-2</v>
      </c>
      <c r="J117" s="127">
        <f t="shared" si="12"/>
        <v>3.4521540894558569E-2</v>
      </c>
      <c r="K117" s="127">
        <f t="shared" si="13"/>
        <v>5.8321943681577306E-3</v>
      </c>
      <c r="L117" s="127">
        <f t="shared" si="14"/>
        <v>-1.488913527303266E-2</v>
      </c>
      <c r="M117" s="127">
        <f t="shared" si="15"/>
        <v>-4.3195399369256662E-2</v>
      </c>
      <c r="N117" s="127">
        <f t="shared" si="16"/>
        <v>-1.8874728050446918E-2</v>
      </c>
      <c r="O117" s="127">
        <f t="shared" si="17"/>
        <v>-3.9221586831556167E-2</v>
      </c>
      <c r="P117" s="127">
        <f t="shared" si="18"/>
        <v>-0.20050632016692066</v>
      </c>
      <c r="Q117" s="127">
        <f t="shared" si="19"/>
        <v>2.715948389401672E-2</v>
      </c>
      <c r="R117" s="127">
        <f t="shared" si="20"/>
        <v>-1.308897719663563E-2</v>
      </c>
      <c r="S117" s="127">
        <f t="shared" si="21"/>
        <v>5.5728040023061368E-3</v>
      </c>
      <c r="T117" s="127">
        <f t="shared" si="22"/>
        <v>0.15741310600476688</v>
      </c>
      <c r="U117" s="127">
        <f t="shared" si="23"/>
        <v>-6.4829202062555741E-2</v>
      </c>
      <c r="V117" s="127">
        <f t="shared" si="24"/>
        <v>5.5786140025919258E-2</v>
      </c>
      <c r="W117" s="127">
        <f t="shared" si="25"/>
        <v>-1.5684627583452085E-2</v>
      </c>
      <c r="X117" s="127">
        <f t="shared" si="26"/>
        <v>0.13045068932858628</v>
      </c>
      <c r="Y117" s="127">
        <f t="shared" si="27"/>
        <v>1.1190639247087155E-2</v>
      </c>
      <c r="Z117" s="127">
        <f t="shared" si="28"/>
        <v>2.7990505679742501E-3</v>
      </c>
      <c r="AA117" s="127">
        <f t="shared" si="29"/>
        <v>-2.4569081913597066E-2</v>
      </c>
      <c r="AB117" s="127">
        <f t="shared" si="30"/>
        <v>-1.7502918326279746E-3</v>
      </c>
      <c r="AC117" s="127">
        <f t="shared" si="31"/>
        <v>-4.8913655829224162E-2</v>
      </c>
      <c r="AD117" s="127">
        <f t="shared" si="32"/>
        <v>1.3527241417367882E-2</v>
      </c>
      <c r="AE117" s="127">
        <f t="shared" si="33"/>
        <v>-6.81443315048493E-3</v>
      </c>
      <c r="AF117" s="127">
        <f t="shared" si="34"/>
        <v>-9.7430299571666309E-3</v>
      </c>
    </row>
    <row r="118" spans="1:32" x14ac:dyDescent="0.3">
      <c r="A118" s="126">
        <v>42979</v>
      </c>
      <c r="B118" s="127">
        <f t="shared" si="4"/>
        <v>1.3188411904299681E-2</v>
      </c>
      <c r="C118" s="127">
        <f t="shared" si="5"/>
        <v>9.3643759551036598E-2</v>
      </c>
      <c r="D118" s="127">
        <f t="shared" si="6"/>
        <v>-0.32174431878741339</v>
      </c>
      <c r="E118" s="127">
        <f t="shared" si="7"/>
        <v>4.2809749101899205E-2</v>
      </c>
      <c r="F118" s="127">
        <f t="shared" si="8"/>
        <v>4.9872462218716454E-2</v>
      </c>
      <c r="G118" s="127">
        <f t="shared" si="9"/>
        <v>7.517900002374471E-2</v>
      </c>
      <c r="H118" s="127">
        <f t="shared" si="10"/>
        <v>7.1259003943950294E-2</v>
      </c>
      <c r="I118" s="127">
        <f t="shared" si="11"/>
        <v>9.7818002605869259E-2</v>
      </c>
      <c r="J118" s="127">
        <f t="shared" si="12"/>
        <v>7.6175253885125069E-2</v>
      </c>
      <c r="K118" s="127">
        <f t="shared" si="13"/>
        <v>9.7767085940253434E-2</v>
      </c>
      <c r="L118" s="127">
        <f t="shared" si="14"/>
        <v>-7.1275825490399916E-2</v>
      </c>
      <c r="M118" s="127">
        <f t="shared" si="15"/>
        <v>-4.8661788542495778E-3</v>
      </c>
      <c r="N118" s="127">
        <f t="shared" si="16"/>
        <v>0.12516699219436145</v>
      </c>
      <c r="O118" s="127">
        <f t="shared" si="17"/>
        <v>0.12175124336156035</v>
      </c>
      <c r="P118" s="127">
        <f t="shared" si="18"/>
        <v>0.14967906482605242</v>
      </c>
      <c r="Q118" s="127">
        <f t="shared" si="19"/>
        <v>5.0282213361076186E-3</v>
      </c>
      <c r="R118" s="127">
        <f t="shared" si="20"/>
        <v>1.3245518201891775E-2</v>
      </c>
      <c r="S118" s="127">
        <f t="shared" si="21"/>
        <v>1.1242092925437319E-2</v>
      </c>
      <c r="T118" s="127">
        <f t="shared" si="22"/>
        <v>-9.1019648721495261E-2</v>
      </c>
      <c r="U118" s="127">
        <f t="shared" si="23"/>
        <v>0.12537532495360443</v>
      </c>
      <c r="V118" s="127">
        <f t="shared" si="24"/>
        <v>-8.5334515758580826E-4</v>
      </c>
      <c r="W118" s="127">
        <f t="shared" si="25"/>
        <v>5.3581983057316505E-2</v>
      </c>
      <c r="X118" s="127">
        <f t="shared" si="26"/>
        <v>1.1003111194975235E-2</v>
      </c>
      <c r="Y118" s="127">
        <f t="shared" si="27"/>
        <v>0.10280591820490684</v>
      </c>
      <c r="Z118" s="127">
        <f t="shared" si="28"/>
        <v>0.13262012207440685</v>
      </c>
      <c r="AA118" s="127">
        <f t="shared" si="29"/>
        <v>8.6892820179415978E-2</v>
      </c>
      <c r="AB118" s="127">
        <f t="shared" si="30"/>
        <v>-7.0502141568239321E-2</v>
      </c>
      <c r="AC118" s="127">
        <f t="shared" si="31"/>
        <v>3.7043613383967666E-2</v>
      </c>
      <c r="AD118" s="127">
        <f t="shared" si="32"/>
        <v>5.1731368313808956E-3</v>
      </c>
      <c r="AE118" s="127">
        <f t="shared" si="33"/>
        <v>-2.017946551295207E-2</v>
      </c>
      <c r="AF118" s="127">
        <f t="shared" si="34"/>
        <v>5.7568491579823716E-2</v>
      </c>
    </row>
    <row r="119" spans="1:32" x14ac:dyDescent="0.3">
      <c r="A119" s="126">
        <v>43009</v>
      </c>
      <c r="B119" s="127">
        <f t="shared" si="4"/>
        <v>5.0710214423598354E-2</v>
      </c>
      <c r="C119" s="127">
        <f t="shared" si="5"/>
        <v>0.11946098990466035</v>
      </c>
      <c r="D119" s="127">
        <f t="shared" si="6"/>
        <v>-6.4014214577494122E-2</v>
      </c>
      <c r="E119" s="127">
        <f t="shared" si="7"/>
        <v>4.4253156902064633E-2</v>
      </c>
      <c r="F119" s="127">
        <f t="shared" si="8"/>
        <v>4.2979773379967369E-2</v>
      </c>
      <c r="G119" s="127">
        <f t="shared" si="9"/>
        <v>2.0427399429485169E-2</v>
      </c>
      <c r="H119" s="127">
        <f t="shared" si="10"/>
        <v>3.6317393021549675E-2</v>
      </c>
      <c r="I119" s="127">
        <f t="shared" si="11"/>
        <v>5.5845223946601519E-2</v>
      </c>
      <c r="J119" s="127">
        <f t="shared" si="12"/>
        <v>8.273133543171611E-2</v>
      </c>
      <c r="K119" s="127">
        <f t="shared" si="13"/>
        <v>2.1377514533156877E-2</v>
      </c>
      <c r="L119" s="127">
        <f t="shared" si="14"/>
        <v>-5.1624507160714317E-2</v>
      </c>
      <c r="M119" s="127">
        <f t="shared" si="15"/>
        <v>-2.1698739294682204E-2</v>
      </c>
      <c r="N119" s="127">
        <f t="shared" si="16"/>
        <v>0.13866337025204772</v>
      </c>
      <c r="O119" s="127">
        <f t="shared" si="17"/>
        <v>-0.15873437628469522</v>
      </c>
      <c r="P119" s="127">
        <f t="shared" si="18"/>
        <v>0.18102869505849001</v>
      </c>
      <c r="Q119" s="127">
        <f t="shared" si="19"/>
        <v>3.9055032656183902E-2</v>
      </c>
      <c r="R119" s="127">
        <f t="shared" si="20"/>
        <v>-3.0692721873963665E-2</v>
      </c>
      <c r="S119" s="127">
        <f t="shared" si="21"/>
        <v>-4.3512760935440147E-2</v>
      </c>
      <c r="T119" s="127">
        <f t="shared" si="22"/>
        <v>0.10569654073774053</v>
      </c>
      <c r="U119" s="127">
        <f t="shared" si="23"/>
        <v>5.7863797943208332E-2</v>
      </c>
      <c r="V119" s="127">
        <f t="shared" si="24"/>
        <v>1.0376707847514733E-2</v>
      </c>
      <c r="W119" s="127">
        <f t="shared" si="25"/>
        <v>3.630796675963192E-3</v>
      </c>
      <c r="X119" s="127">
        <f t="shared" si="26"/>
        <v>5.8441044096524092E-2</v>
      </c>
      <c r="Y119" s="127">
        <f t="shared" si="27"/>
        <v>4.0548576708334276E-2</v>
      </c>
      <c r="Z119" s="127">
        <f t="shared" si="28"/>
        <v>2.236008425859537E-2</v>
      </c>
      <c r="AA119" s="127">
        <f t="shared" si="29"/>
        <v>0.12485593934244535</v>
      </c>
      <c r="AB119" s="127">
        <f t="shared" si="30"/>
        <v>0.14397058985965336</v>
      </c>
      <c r="AC119" s="127">
        <f t="shared" si="31"/>
        <v>5.4511647719824051E-2</v>
      </c>
      <c r="AD119" s="127">
        <f t="shared" si="32"/>
        <v>-8.0947707868135793E-2</v>
      </c>
      <c r="AE119" s="127">
        <f t="shared" si="33"/>
        <v>-1.8369384338553976E-2</v>
      </c>
      <c r="AF119" s="127">
        <f t="shared" si="34"/>
        <v>2.6177516261009174E-2</v>
      </c>
    </row>
    <row r="120" spans="1:32" x14ac:dyDescent="0.3">
      <c r="A120" s="126">
        <v>43040</v>
      </c>
      <c r="B120" s="127">
        <f t="shared" si="4"/>
        <v>-5.4122372321958191E-2</v>
      </c>
      <c r="C120" s="127">
        <f t="shared" si="5"/>
        <v>0.13063031323001936</v>
      </c>
      <c r="D120" s="127">
        <f t="shared" si="6"/>
        <v>-4.1983035089785382E-2</v>
      </c>
      <c r="E120" s="127">
        <f t="shared" si="7"/>
        <v>-3.9284490821890637E-2</v>
      </c>
      <c r="F120" s="127">
        <f t="shared" si="8"/>
        <v>-1.1359175004681966E-2</v>
      </c>
      <c r="G120" s="127">
        <f t="shared" si="9"/>
        <v>-7.7067216126275748E-2</v>
      </c>
      <c r="H120" s="127">
        <f t="shared" si="10"/>
        <v>7.840490084883113E-3</v>
      </c>
      <c r="I120" s="127">
        <f t="shared" si="11"/>
        <v>-2.4369370716002269E-2</v>
      </c>
      <c r="J120" s="127">
        <f t="shared" si="12"/>
        <v>-3.0670481787830259E-2</v>
      </c>
      <c r="K120" s="127">
        <f t="shared" si="13"/>
        <v>-3.0652030197187621E-2</v>
      </c>
      <c r="L120" s="127">
        <f t="shared" si="14"/>
        <v>-7.9620214066938172E-3</v>
      </c>
      <c r="M120" s="127">
        <f t="shared" si="15"/>
        <v>-0.10647542955935541</v>
      </c>
      <c r="N120" s="127">
        <f t="shared" si="16"/>
        <v>0.11802550180884132</v>
      </c>
      <c r="O120" s="127">
        <f t="shared" si="17"/>
        <v>0.1261321427374098</v>
      </c>
      <c r="P120" s="127">
        <f t="shared" si="18"/>
        <v>-8.0125537980179892E-2</v>
      </c>
      <c r="Q120" s="127">
        <f t="shared" si="19"/>
        <v>3.7386106300165117E-2</v>
      </c>
      <c r="R120" s="127">
        <f t="shared" si="20"/>
        <v>-3.3850380682299161E-2</v>
      </c>
      <c r="S120" s="127">
        <f t="shared" si="21"/>
        <v>6.1554908146001411E-2</v>
      </c>
      <c r="T120" s="127">
        <f t="shared" si="22"/>
        <v>-0.11362404656265682</v>
      </c>
      <c r="U120" s="127">
        <f t="shared" si="23"/>
        <v>3.0362812333693708E-2</v>
      </c>
      <c r="V120" s="127">
        <f t="shared" si="24"/>
        <v>7.9090428834938248E-3</v>
      </c>
      <c r="W120" s="127">
        <f t="shared" si="25"/>
        <v>6.0206741861274444E-3</v>
      </c>
      <c r="X120" s="127">
        <f t="shared" si="26"/>
        <v>-3.8698381969543061E-2</v>
      </c>
      <c r="Y120" s="127">
        <f t="shared" si="27"/>
        <v>5.609303273020525E-3</v>
      </c>
      <c r="Z120" s="127">
        <f t="shared" si="28"/>
        <v>3.4291518376776534E-2</v>
      </c>
      <c r="AA120" s="127">
        <f t="shared" si="29"/>
        <v>-9.5905949285566387E-3</v>
      </c>
      <c r="AB120" s="127">
        <f t="shared" si="30"/>
        <v>-5.990549723017561E-2</v>
      </c>
      <c r="AC120" s="127">
        <f t="shared" si="31"/>
        <v>-2.6773093834250247E-2</v>
      </c>
      <c r="AD120" s="127">
        <f t="shared" si="32"/>
        <v>1.3035353740865833E-2</v>
      </c>
      <c r="AE120" s="127">
        <f t="shared" si="33"/>
        <v>2.0373898597328972E-2</v>
      </c>
      <c r="AF120" s="127">
        <f t="shared" si="34"/>
        <v>-2.0241841092648441E-2</v>
      </c>
    </row>
    <row r="121" spans="1:32" x14ac:dyDescent="0.3">
      <c r="A121" s="126">
        <v>43070</v>
      </c>
      <c r="B121" s="127">
        <f t="shared" si="4"/>
        <v>-2.2744245132300486E-2</v>
      </c>
      <c r="C121" s="127">
        <f t="shared" si="5"/>
        <v>-7.0150327276447808E-2</v>
      </c>
      <c r="D121" s="127">
        <f t="shared" si="6"/>
        <v>-2.9638738592230589E-2</v>
      </c>
      <c r="E121" s="127">
        <f t="shared" si="7"/>
        <v>-2.0737653597468441E-2</v>
      </c>
      <c r="F121" s="127">
        <f t="shared" si="8"/>
        <v>-3.9457931829505383E-2</v>
      </c>
      <c r="G121" s="127">
        <f t="shared" si="9"/>
        <v>9.9268708616579177E-3</v>
      </c>
      <c r="H121" s="127">
        <f t="shared" si="10"/>
        <v>-1.0067705370440758E-2</v>
      </c>
      <c r="I121" s="127">
        <f t="shared" si="11"/>
        <v>1.9016733198935876E-2</v>
      </c>
      <c r="J121" s="127">
        <f t="shared" si="12"/>
        <v>-3.3035791792571031E-2</v>
      </c>
      <c r="K121" s="127">
        <f t="shared" si="13"/>
        <v>2.7180054705605857E-2</v>
      </c>
      <c r="L121" s="127">
        <f t="shared" si="14"/>
        <v>-2.9652470333658681E-2</v>
      </c>
      <c r="M121" s="127">
        <f t="shared" si="15"/>
        <v>-6.6904999804920734E-2</v>
      </c>
      <c r="N121" s="127">
        <f t="shared" si="16"/>
        <v>-1.0048733509638237E-2</v>
      </c>
      <c r="O121" s="127">
        <f t="shared" si="17"/>
        <v>-8.8918432441602996E-3</v>
      </c>
      <c r="P121" s="127">
        <f t="shared" si="18"/>
        <v>-0.12437675256550605</v>
      </c>
      <c r="Q121" s="127">
        <f t="shared" si="19"/>
        <v>3.7050117853164255E-2</v>
      </c>
      <c r="R121" s="127">
        <f t="shared" si="20"/>
        <v>-3.1425365172969588E-3</v>
      </c>
      <c r="S121" s="127">
        <f t="shared" si="21"/>
        <v>6.2262591630227876E-3</v>
      </c>
      <c r="T121" s="127">
        <f t="shared" si="22"/>
        <v>-0.12940019280199661</v>
      </c>
      <c r="U121" s="127">
        <f t="shared" si="23"/>
        <v>-2.3223614179846756E-2</v>
      </c>
      <c r="V121" s="127">
        <f t="shared" si="24"/>
        <v>-2.6036067553818938E-2</v>
      </c>
      <c r="W121" s="127">
        <f t="shared" si="25"/>
        <v>5.0961329345817513E-2</v>
      </c>
      <c r="X121" s="127">
        <f t="shared" si="26"/>
        <v>-6.7699180598758443E-2</v>
      </c>
      <c r="Y121" s="127">
        <f t="shared" si="27"/>
        <v>-2.2777736226036741E-2</v>
      </c>
      <c r="Z121" s="127">
        <f t="shared" si="28"/>
        <v>1.3591645756362888E-2</v>
      </c>
      <c r="AA121" s="127">
        <f t="shared" si="29"/>
        <v>0.14320543188014312</v>
      </c>
      <c r="AB121" s="127">
        <f t="shared" si="30"/>
        <v>-5.1463720851048972E-2</v>
      </c>
      <c r="AC121" s="127">
        <f t="shared" si="31"/>
        <v>-4.5574342575877669E-2</v>
      </c>
      <c r="AD121" s="127">
        <f t="shared" si="32"/>
        <v>6.1668910781035972E-2</v>
      </c>
      <c r="AE121" s="127">
        <f t="shared" si="33"/>
        <v>-1.793283702349888E-2</v>
      </c>
      <c r="AF121" s="127">
        <f t="shared" si="34"/>
        <v>-1.2778093517643564E-2</v>
      </c>
    </row>
    <row r="122" spans="1:32" x14ac:dyDescent="0.3">
      <c r="A122" s="126">
        <v>43101</v>
      </c>
      <c r="B122" s="127">
        <f t="shared" si="4"/>
        <v>8.9404511341924404E-3</v>
      </c>
      <c r="C122" s="127">
        <f t="shared" si="5"/>
        <v>5.9067655517831275E-2</v>
      </c>
      <c r="D122" s="127">
        <f t="shared" si="6"/>
        <v>-0.14134333037799104</v>
      </c>
      <c r="E122" s="127">
        <f t="shared" si="7"/>
        <v>-3.6415216231158093E-2</v>
      </c>
      <c r="F122" s="127">
        <f t="shared" si="8"/>
        <v>5.5456775448187043E-2</v>
      </c>
      <c r="G122" s="127">
        <f t="shared" si="9"/>
        <v>4.3542748856880566E-2</v>
      </c>
      <c r="H122" s="127">
        <f t="shared" si="10"/>
        <v>-4.9735151259401311E-2</v>
      </c>
      <c r="I122" s="127">
        <f t="shared" si="11"/>
        <v>4.1322984758283568E-2</v>
      </c>
      <c r="J122" s="127">
        <f t="shared" si="12"/>
        <v>7.2529988068936284E-3</v>
      </c>
      <c r="K122" s="127">
        <f t="shared" si="13"/>
        <v>5.9617569741769176E-2</v>
      </c>
      <c r="L122" s="127">
        <f t="shared" si="14"/>
        <v>2.5902954729198527E-2</v>
      </c>
      <c r="M122" s="127">
        <f t="shared" si="15"/>
        <v>9.3951562415197948E-2</v>
      </c>
      <c r="N122" s="127">
        <f t="shared" si="16"/>
        <v>6.1484135628770996E-2</v>
      </c>
      <c r="O122" s="127">
        <f t="shared" si="17"/>
        <v>0.1721588478198873</v>
      </c>
      <c r="P122" s="127">
        <f t="shared" si="18"/>
        <v>8.0692142451966334E-2</v>
      </c>
      <c r="Q122" s="127">
        <f t="shared" si="19"/>
        <v>-5.0112630782486844E-2</v>
      </c>
      <c r="R122" s="127">
        <f t="shared" si="20"/>
        <v>-2.6178333513038353E-2</v>
      </c>
      <c r="S122" s="127">
        <f t="shared" si="21"/>
        <v>5.5558570732547816E-2</v>
      </c>
      <c r="T122" s="127">
        <f t="shared" si="22"/>
        <v>-5.7375545227589572E-2</v>
      </c>
      <c r="U122" s="127">
        <f t="shared" si="23"/>
        <v>-4.6972785964774402E-2</v>
      </c>
      <c r="V122" s="127">
        <f t="shared" si="24"/>
        <v>-9.2042754875982843E-3</v>
      </c>
      <c r="W122" s="127">
        <f t="shared" si="25"/>
        <v>5.8380739841542899E-2</v>
      </c>
      <c r="X122" s="127">
        <f t="shared" si="26"/>
        <v>-6.5902628618054793E-2</v>
      </c>
      <c r="Y122" s="127">
        <f t="shared" si="27"/>
        <v>2.9293323935030761E-2</v>
      </c>
      <c r="Z122" s="127">
        <f t="shared" si="28"/>
        <v>7.9173091142881485E-2</v>
      </c>
      <c r="AA122" s="127">
        <f t="shared" si="29"/>
        <v>-7.6828259987264211E-2</v>
      </c>
      <c r="AB122" s="127">
        <f t="shared" si="30"/>
        <v>-9.0013484585768327E-2</v>
      </c>
      <c r="AC122" s="127">
        <f t="shared" si="31"/>
        <v>4.9394050212066186E-2</v>
      </c>
      <c r="AD122" s="127">
        <f t="shared" si="32"/>
        <v>5.4754948199226675E-2</v>
      </c>
      <c r="AE122" s="127">
        <f t="shared" si="33"/>
        <v>4.1108852447038102E-2</v>
      </c>
      <c r="AF122" s="127">
        <f t="shared" si="34"/>
        <v>1.6246083999151603E-2</v>
      </c>
    </row>
    <row r="123" spans="1:32" x14ac:dyDescent="0.3">
      <c r="A123" s="126">
        <v>43132</v>
      </c>
      <c r="B123" s="127">
        <f t="shared" si="4"/>
        <v>-1.8562524535626811E-2</v>
      </c>
      <c r="C123" s="127">
        <f t="shared" si="5"/>
        <v>-9.6613392572344511E-2</v>
      </c>
      <c r="D123" s="127">
        <f t="shared" si="6"/>
        <v>-0.4674637314100405</v>
      </c>
      <c r="E123" s="127">
        <f t="shared" si="7"/>
        <v>-6.0297759688183121E-2</v>
      </c>
      <c r="F123" s="127">
        <f t="shared" si="8"/>
        <v>-6.3387892426933892E-2</v>
      </c>
      <c r="G123" s="127">
        <f t="shared" si="9"/>
        <v>-0.12608629494996618</v>
      </c>
      <c r="H123" s="127">
        <f t="shared" si="10"/>
        <v>-1.7911136230693504E-2</v>
      </c>
      <c r="I123" s="127">
        <f t="shared" si="11"/>
        <v>-4.4450471206229816E-2</v>
      </c>
      <c r="J123" s="127">
        <f t="shared" si="12"/>
        <v>-6.1499220549941565E-2</v>
      </c>
      <c r="K123" s="127">
        <f t="shared" si="13"/>
        <v>-5.5518110143442184E-2</v>
      </c>
      <c r="L123" s="127">
        <f t="shared" si="14"/>
        <v>0.10345106243560714</v>
      </c>
      <c r="M123" s="127">
        <f t="shared" si="15"/>
        <v>-4.5282075457912144E-2</v>
      </c>
      <c r="N123" s="127">
        <f t="shared" si="16"/>
        <v>-7.6236187794893093E-2</v>
      </c>
      <c r="O123" s="127">
        <f t="shared" si="17"/>
        <v>-8.0110273746426527E-2</v>
      </c>
      <c r="P123" s="127">
        <f t="shared" si="18"/>
        <v>-6.4585292516562698E-2</v>
      </c>
      <c r="Q123" s="127">
        <f t="shared" si="19"/>
        <v>-6.4606037098022318E-2</v>
      </c>
      <c r="R123" s="127">
        <f t="shared" si="20"/>
        <v>-7.4879847440808403E-2</v>
      </c>
      <c r="S123" s="127">
        <f t="shared" si="21"/>
        <v>4.7430816728396497E-2</v>
      </c>
      <c r="T123" s="127">
        <f t="shared" si="22"/>
        <v>1.2632317026904902E-2</v>
      </c>
      <c r="U123" s="127">
        <f t="shared" si="23"/>
        <v>-5.9783519326464717E-2</v>
      </c>
      <c r="V123" s="127">
        <f t="shared" si="24"/>
        <v>-7.7237201517765877E-2</v>
      </c>
      <c r="W123" s="127">
        <f t="shared" si="25"/>
        <v>-6.4927678346424017E-2</v>
      </c>
      <c r="X123" s="127">
        <f t="shared" si="26"/>
        <v>-9.2734287028205156E-3</v>
      </c>
      <c r="Y123" s="127">
        <f t="shared" si="27"/>
        <v>-8.6031289500866234E-2</v>
      </c>
      <c r="Z123" s="127">
        <f t="shared" si="28"/>
        <v>-6.069220071356133E-2</v>
      </c>
      <c r="AA123" s="127">
        <f t="shared" si="29"/>
        <v>-6.6787869980118403E-2</v>
      </c>
      <c r="AB123" s="127">
        <f t="shared" si="30"/>
        <v>4.2651176517001295E-2</v>
      </c>
      <c r="AC123" s="127">
        <f t="shared" si="31"/>
        <v>-3.316200190513377E-2</v>
      </c>
      <c r="AD123" s="127">
        <f t="shared" si="32"/>
        <v>-0.11735152594870284</v>
      </c>
      <c r="AE123" s="127">
        <f t="shared" si="33"/>
        <v>1.6608052004672424E-2</v>
      </c>
      <c r="AF123" s="127">
        <f t="shared" si="34"/>
        <v>-6.3415750794695386E-2</v>
      </c>
    </row>
    <row r="124" spans="1:32" x14ac:dyDescent="0.3">
      <c r="A124" s="126">
        <v>43160</v>
      </c>
      <c r="B124" s="127">
        <f t="shared" si="4"/>
        <v>3.5278404825970403E-2</v>
      </c>
      <c r="C124" s="127">
        <f t="shared" si="5"/>
        <v>-8.8769755175750059E-4</v>
      </c>
      <c r="D124" s="127">
        <f t="shared" si="6"/>
        <v>-0.15982636620360158</v>
      </c>
      <c r="E124" s="127">
        <f t="shared" si="7"/>
        <v>-2.235023449790581E-2</v>
      </c>
      <c r="F124" s="127">
        <f t="shared" si="8"/>
        <v>-5.1251394260875299E-2</v>
      </c>
      <c r="G124" s="127">
        <f t="shared" si="9"/>
        <v>-5.3307565253280779E-2</v>
      </c>
      <c r="H124" s="127">
        <f t="shared" si="10"/>
        <v>-6.4523277146675884E-2</v>
      </c>
      <c r="I124" s="127">
        <f t="shared" si="11"/>
        <v>-2.0743246439332806E-2</v>
      </c>
      <c r="J124" s="127">
        <f t="shared" si="12"/>
        <v>-4.7303975076047049E-2</v>
      </c>
      <c r="K124" s="127">
        <f t="shared" si="13"/>
        <v>1.7310215872148621E-2</v>
      </c>
      <c r="L124" s="127">
        <f t="shared" si="14"/>
        <v>-5.0633579842676774E-2</v>
      </c>
      <c r="M124" s="127">
        <f t="shared" si="15"/>
        <v>5.4259096548213114E-2</v>
      </c>
      <c r="N124" s="127">
        <f t="shared" si="16"/>
        <v>-2.6340897068963288E-2</v>
      </c>
      <c r="O124" s="127">
        <f t="shared" si="17"/>
        <v>-0.17411259897211831</v>
      </c>
      <c r="P124" s="127">
        <f t="shared" si="18"/>
        <v>-0.12906539700644942</v>
      </c>
      <c r="Q124" s="127">
        <f t="shared" si="19"/>
        <v>6.0760255489422807E-2</v>
      </c>
      <c r="R124" s="127">
        <f t="shared" si="20"/>
        <v>-6.0686996120625093E-2</v>
      </c>
      <c r="S124" s="127">
        <f t="shared" si="21"/>
        <v>5.365440066643079E-4</v>
      </c>
      <c r="T124" s="127">
        <f t="shared" si="22"/>
        <v>0.19612131196633451</v>
      </c>
      <c r="U124" s="127">
        <f t="shared" si="23"/>
        <v>-1.8070899356675777E-2</v>
      </c>
      <c r="V124" s="127">
        <f t="shared" si="24"/>
        <v>0.10250497720389919</v>
      </c>
      <c r="W124" s="127">
        <f t="shared" si="25"/>
        <v>-4.7842338005360356E-2</v>
      </c>
      <c r="X124" s="127">
        <f t="shared" si="26"/>
        <v>7.8603224796623322E-2</v>
      </c>
      <c r="Y124" s="127">
        <f t="shared" si="27"/>
        <v>-4.5110262133102548E-2</v>
      </c>
      <c r="Z124" s="127">
        <f t="shared" si="28"/>
        <v>1.5761608750587104E-3</v>
      </c>
      <c r="AA124" s="127">
        <f t="shared" si="29"/>
        <v>-0.13293997879513925</v>
      </c>
      <c r="AB124" s="127">
        <f t="shared" si="30"/>
        <v>7.0803241774715586E-2</v>
      </c>
      <c r="AC124" s="127">
        <f t="shared" si="31"/>
        <v>8.6752939110664E-3</v>
      </c>
      <c r="AD124" s="127">
        <f t="shared" si="32"/>
        <v>-4.2404253801722587E-2</v>
      </c>
      <c r="AE124" s="127">
        <f t="shared" si="33"/>
        <v>-3.2946224681121072E-2</v>
      </c>
      <c r="AF124" s="127">
        <f t="shared" si="34"/>
        <v>-3.2227901238410961E-2</v>
      </c>
    </row>
    <row r="125" spans="1:32" x14ac:dyDescent="0.3">
      <c r="A125" s="126">
        <v>43191</v>
      </c>
      <c r="B125" s="127">
        <f t="shared" si="4"/>
        <v>-3.4345987691333957E-2</v>
      </c>
      <c r="C125" s="127">
        <f t="shared" si="5"/>
        <v>6.030187789827364E-2</v>
      </c>
      <c r="D125" s="127">
        <f t="shared" si="6"/>
        <v>-0.10356569524852027</v>
      </c>
      <c r="E125" s="127">
        <f t="shared" si="7"/>
        <v>7.6066842582961994E-2</v>
      </c>
      <c r="F125" s="127">
        <f t="shared" si="8"/>
        <v>6.3467867610596945E-2</v>
      </c>
      <c r="G125" s="127">
        <f t="shared" si="9"/>
        <v>1.3331757511690865E-2</v>
      </c>
      <c r="H125" s="127">
        <f t="shared" si="10"/>
        <v>9.6450666613994672E-3</v>
      </c>
      <c r="I125" s="127">
        <f t="shared" si="11"/>
        <v>-5.0849271345595234E-2</v>
      </c>
      <c r="J125" s="127">
        <f t="shared" si="12"/>
        <v>-3.8783115127735926E-2</v>
      </c>
      <c r="K125" s="127">
        <f t="shared" si="13"/>
        <v>4.9951675645384649E-2</v>
      </c>
      <c r="L125" s="127">
        <f t="shared" si="14"/>
        <v>1.7699502440674329E-2</v>
      </c>
      <c r="M125" s="127">
        <f t="shared" si="15"/>
        <v>1.6335744533853544E-2</v>
      </c>
      <c r="N125" s="127">
        <f t="shared" si="16"/>
        <v>4.5107032369542686E-2</v>
      </c>
      <c r="O125" s="127">
        <f t="shared" si="17"/>
        <v>-7.3571369750240978E-2</v>
      </c>
      <c r="P125" s="127">
        <f t="shared" si="18"/>
        <v>0.10768775677967767</v>
      </c>
      <c r="Q125" s="127">
        <f t="shared" si="19"/>
        <v>2.4554148965271534E-2</v>
      </c>
      <c r="R125" s="127">
        <f t="shared" si="20"/>
        <v>3.5021201853853573E-2</v>
      </c>
      <c r="S125" s="127">
        <f t="shared" si="21"/>
        <v>-4.6683191476567729E-4</v>
      </c>
      <c r="T125" s="127">
        <f t="shared" si="22"/>
        <v>3.4197433065416907E-2</v>
      </c>
      <c r="U125" s="127">
        <f t="shared" si="23"/>
        <v>3.2084646025574474E-2</v>
      </c>
      <c r="V125" s="127">
        <f t="shared" si="24"/>
        <v>2.4636568999773324E-2</v>
      </c>
      <c r="W125" s="127">
        <f t="shared" si="25"/>
        <v>1.6159904979641246E-2</v>
      </c>
      <c r="X125" s="127">
        <f t="shared" si="26"/>
        <v>8.1452478712142826E-3</v>
      </c>
      <c r="Y125" s="127">
        <f t="shared" si="27"/>
        <v>4.7185286979556339E-2</v>
      </c>
      <c r="Z125" s="127">
        <f t="shared" si="28"/>
        <v>-6.1187687055970878E-3</v>
      </c>
      <c r="AA125" s="127">
        <f t="shared" si="29"/>
        <v>2.1572894965182767E-3</v>
      </c>
      <c r="AB125" s="127">
        <f t="shared" si="30"/>
        <v>-1.6350622777239858E-3</v>
      </c>
      <c r="AC125" s="127">
        <f t="shared" si="31"/>
        <v>-8.9617411736336514E-4</v>
      </c>
      <c r="AD125" s="127">
        <f t="shared" si="32"/>
        <v>2.8713453841091419E-2</v>
      </c>
      <c r="AE125" s="127">
        <f t="shared" si="33"/>
        <v>5.2177816653171047E-2</v>
      </c>
      <c r="AF125" s="127">
        <f t="shared" si="34"/>
        <v>3.7142656335629333E-2</v>
      </c>
    </row>
    <row r="126" spans="1:32" x14ac:dyDescent="0.3">
      <c r="A126" s="126">
        <v>43221</v>
      </c>
      <c r="B126" s="127">
        <f t="shared" si="4"/>
        <v>-2.2594382944477576E-2</v>
      </c>
      <c r="C126" s="127">
        <f t="shared" si="5"/>
        <v>-6.8032287604378919E-2</v>
      </c>
      <c r="D126" s="127">
        <f t="shared" si="6"/>
        <v>0.22869372595858964</v>
      </c>
      <c r="E126" s="127">
        <f t="shared" si="7"/>
        <v>3.3561885916246058E-2</v>
      </c>
      <c r="F126" s="127">
        <f t="shared" si="8"/>
        <v>-0.11313951060045085</v>
      </c>
      <c r="G126" s="127">
        <f t="shared" si="9"/>
        <v>4.7033393289659178E-2</v>
      </c>
      <c r="H126" s="127">
        <f t="shared" si="10"/>
        <v>-0.11252815977754714</v>
      </c>
      <c r="I126" s="127">
        <f t="shared" si="11"/>
        <v>-5.9318199929733785E-2</v>
      </c>
      <c r="J126" s="127">
        <f t="shared" si="12"/>
        <v>8.1410236289261501E-2</v>
      </c>
      <c r="K126" s="127">
        <f t="shared" si="13"/>
        <v>-7.7665069360014605E-2</v>
      </c>
      <c r="L126" s="127">
        <f t="shared" si="14"/>
        <v>6.0211770252025003E-2</v>
      </c>
      <c r="M126" s="127">
        <f t="shared" si="15"/>
        <v>-7.1703936906670235E-2</v>
      </c>
      <c r="N126" s="127">
        <f t="shared" si="16"/>
        <v>-0.11807960905648356</v>
      </c>
      <c r="O126" s="127">
        <f t="shared" si="17"/>
        <v>-6.7354895639863202E-3</v>
      </c>
      <c r="P126" s="127">
        <f t="shared" si="18"/>
        <v>0.10578275162969521</v>
      </c>
      <c r="Q126" s="127">
        <f t="shared" si="19"/>
        <v>-3.9177697674447676E-2</v>
      </c>
      <c r="R126" s="127">
        <f t="shared" si="20"/>
        <v>6.5932658271667707E-2</v>
      </c>
      <c r="S126" s="127">
        <f t="shared" si="21"/>
        <v>1.4416379546832534E-2</v>
      </c>
      <c r="T126" s="127">
        <f t="shared" si="22"/>
        <v>-2.922299569890123E-2</v>
      </c>
      <c r="U126" s="127">
        <f t="shared" si="23"/>
        <v>0.11065815727727119</v>
      </c>
      <c r="V126" s="127">
        <f t="shared" si="24"/>
        <v>1.7421941431119053E-2</v>
      </c>
      <c r="W126" s="127">
        <f t="shared" si="25"/>
        <v>1.4050607425707023E-2</v>
      </c>
      <c r="X126" s="127">
        <f t="shared" si="26"/>
        <v>2.6173178187012709E-3</v>
      </c>
      <c r="Y126" s="127">
        <f t="shared" si="27"/>
        <v>-2.2714194842466826E-2</v>
      </c>
      <c r="Z126" s="127">
        <f t="shared" si="28"/>
        <v>-1.091078959154753E-2</v>
      </c>
      <c r="AA126" s="127">
        <f t="shared" si="29"/>
        <v>-9.6647253027314972E-2</v>
      </c>
      <c r="AB126" s="127">
        <f t="shared" si="30"/>
        <v>0.22764138896597438</v>
      </c>
      <c r="AC126" s="127">
        <f t="shared" si="31"/>
        <v>-5.6286572495325538E-2</v>
      </c>
      <c r="AD126" s="127">
        <f t="shared" si="32"/>
        <v>5.3477787570504892E-2</v>
      </c>
      <c r="AE126" s="127">
        <f t="shared" si="33"/>
        <v>-0.12917700337865939</v>
      </c>
      <c r="AF126" s="127">
        <f t="shared" si="34"/>
        <v>-5.1522686070304665E-3</v>
      </c>
    </row>
    <row r="127" spans="1:32" x14ac:dyDescent="0.3">
      <c r="A127" s="126">
        <v>43252</v>
      </c>
      <c r="B127" s="127">
        <f t="shared" si="4"/>
        <v>-1.154744385991226E-2</v>
      </c>
      <c r="C127" s="127">
        <f t="shared" si="5"/>
        <v>-0.12615657126448071</v>
      </c>
      <c r="D127" s="127">
        <f t="shared" si="6"/>
        <v>-1.4425801009091587E-2</v>
      </c>
      <c r="E127" s="127">
        <f t="shared" si="7"/>
        <v>1.8752761002791586E-2</v>
      </c>
      <c r="F127" s="127">
        <f t="shared" si="8"/>
        <v>-1.6994587330657015E-3</v>
      </c>
      <c r="G127" s="127">
        <f t="shared" si="9"/>
        <v>8.3748370581422042E-3</v>
      </c>
      <c r="H127" s="127">
        <f t="shared" si="10"/>
        <v>-0.1557359594543527</v>
      </c>
      <c r="I127" s="127">
        <f t="shared" si="11"/>
        <v>-0.1114934831970834</v>
      </c>
      <c r="J127" s="127">
        <f t="shared" si="12"/>
        <v>-9.0686526017085212E-2</v>
      </c>
      <c r="K127" s="127">
        <f t="shared" si="13"/>
        <v>-9.305061401251033E-2</v>
      </c>
      <c r="L127" s="127">
        <f t="shared" si="14"/>
        <v>3.5905112121451983E-2</v>
      </c>
      <c r="M127" s="127">
        <f t="shared" si="15"/>
        <v>-5.4821407588091259E-2</v>
      </c>
      <c r="N127" s="127">
        <f t="shared" si="16"/>
        <v>-0.14772711901127805</v>
      </c>
      <c r="O127" s="127">
        <f t="shared" si="17"/>
        <v>-0.1281056261344781</v>
      </c>
      <c r="P127" s="127">
        <f t="shared" si="18"/>
        <v>-0.11298251981801624</v>
      </c>
      <c r="Q127" s="127">
        <f t="shared" si="19"/>
        <v>1.1856427041099307E-3</v>
      </c>
      <c r="R127" s="127">
        <f t="shared" si="20"/>
        <v>-5.0240189656591307E-2</v>
      </c>
      <c r="S127" s="127">
        <f t="shared" si="21"/>
        <v>-1.2103427082591179E-2</v>
      </c>
      <c r="T127" s="127">
        <f t="shared" si="22"/>
        <v>1.8968182795496636E-3</v>
      </c>
      <c r="U127" s="127">
        <f t="shared" si="23"/>
        <v>5.5355426140255761E-3</v>
      </c>
      <c r="V127" s="127">
        <f t="shared" si="24"/>
        <v>2.3599415672667136E-2</v>
      </c>
      <c r="W127" s="127">
        <f t="shared" si="25"/>
        <v>1.1790833067609387E-2</v>
      </c>
      <c r="X127" s="127">
        <f t="shared" si="26"/>
        <v>1.1398932979085889E-2</v>
      </c>
      <c r="Y127" s="127">
        <f t="shared" si="27"/>
        <v>-2.6608928830019262E-2</v>
      </c>
      <c r="Z127" s="127">
        <f t="shared" si="28"/>
        <v>-9.6743572510336939E-2</v>
      </c>
      <c r="AA127" s="127">
        <f t="shared" si="29"/>
        <v>-0.1526159055045952</v>
      </c>
      <c r="AB127" s="127">
        <f t="shared" si="30"/>
        <v>-5.6908539782391632E-2</v>
      </c>
      <c r="AC127" s="127">
        <f t="shared" si="31"/>
        <v>3.6291636609989122E-3</v>
      </c>
      <c r="AD127" s="127">
        <f t="shared" si="32"/>
        <v>-7.115801621144166E-2</v>
      </c>
      <c r="AE127" s="127">
        <f t="shared" si="33"/>
        <v>-5.6864919937037718E-2</v>
      </c>
      <c r="AF127" s="127">
        <f t="shared" si="34"/>
        <v>-2.8577524603847573E-2</v>
      </c>
    </row>
    <row r="128" spans="1:32" x14ac:dyDescent="0.3">
      <c r="A128" s="126">
        <v>43282</v>
      </c>
      <c r="B128" s="127">
        <f t="shared" si="4"/>
        <v>-3.7010353259375607E-2</v>
      </c>
      <c r="C128" s="127">
        <f t="shared" si="5"/>
        <v>6.5451587382007959E-2</v>
      </c>
      <c r="D128" s="127">
        <f t="shared" si="6"/>
        <v>9.7646592449134123E-2</v>
      </c>
      <c r="E128" s="127">
        <f t="shared" si="7"/>
        <v>1.076077969540996E-3</v>
      </c>
      <c r="F128" s="127">
        <f t="shared" si="8"/>
        <v>6.0903340232873103E-2</v>
      </c>
      <c r="G128" s="127">
        <f t="shared" si="9"/>
        <v>5.7572963829193725E-2</v>
      </c>
      <c r="H128" s="127">
        <f t="shared" si="10"/>
        <v>6.9826355951412775E-2</v>
      </c>
      <c r="I128" s="127">
        <f t="shared" si="11"/>
        <v>7.115477127920182E-2</v>
      </c>
      <c r="J128" s="127">
        <f t="shared" si="12"/>
        <v>1.991918712989145E-2</v>
      </c>
      <c r="K128" s="127">
        <f t="shared" si="13"/>
        <v>6.525204221620301E-2</v>
      </c>
      <c r="L128" s="127">
        <f t="shared" si="14"/>
        <v>0.10401056007697451</v>
      </c>
      <c r="M128" s="127">
        <f t="shared" si="15"/>
        <v>-8.1692845128217197E-3</v>
      </c>
      <c r="N128" s="127">
        <f t="shared" si="16"/>
        <v>5.6792000592095611E-2</v>
      </c>
      <c r="O128" s="127">
        <f t="shared" si="17"/>
        <v>6.7156289744876668E-2</v>
      </c>
      <c r="P128" s="127">
        <f t="shared" si="18"/>
        <v>-3.5459766592848656E-2</v>
      </c>
      <c r="Q128" s="127">
        <f t="shared" si="19"/>
        <v>7.1448190379458359E-3</v>
      </c>
      <c r="R128" s="127">
        <f t="shared" si="20"/>
        <v>4.297515406039492E-2</v>
      </c>
      <c r="S128" s="127">
        <f t="shared" si="21"/>
        <v>-2.2699673042772154E-2</v>
      </c>
      <c r="T128" s="127">
        <f t="shared" si="22"/>
        <v>0.13411147522615238</v>
      </c>
      <c r="U128" s="127">
        <f t="shared" si="23"/>
        <v>8.2738763976973717E-2</v>
      </c>
      <c r="V128" s="127">
        <f t="shared" si="24"/>
        <v>-1.2967258782189874E-3</v>
      </c>
      <c r="W128" s="127">
        <f t="shared" si="25"/>
        <v>-3.281567751515084E-2</v>
      </c>
      <c r="X128" s="127">
        <f t="shared" si="26"/>
        <v>5.4784547153725494E-2</v>
      </c>
      <c r="Y128" s="127">
        <f t="shared" si="27"/>
        <v>4.6060389677333776E-3</v>
      </c>
      <c r="Z128" s="127">
        <f t="shared" si="28"/>
        <v>1.5186030708851203E-2</v>
      </c>
      <c r="AA128" s="127">
        <f t="shared" si="29"/>
        <v>-9.4303256758697558E-3</v>
      </c>
      <c r="AB128" s="127">
        <f t="shared" si="30"/>
        <v>-0.17675993985821567</v>
      </c>
      <c r="AC128" s="127">
        <f t="shared" si="31"/>
        <v>4.0720758449249425E-2</v>
      </c>
      <c r="AD128" s="127">
        <f t="shared" si="32"/>
        <v>0.1012727926782867</v>
      </c>
      <c r="AE128" s="127">
        <f t="shared" si="33"/>
        <v>4.0453643743402129E-2</v>
      </c>
      <c r="AF128" s="127">
        <f t="shared" si="34"/>
        <v>3.5208178801938689E-2</v>
      </c>
    </row>
    <row r="129" spans="1:32" x14ac:dyDescent="0.3">
      <c r="A129" s="126">
        <v>43313</v>
      </c>
      <c r="B129" s="127">
        <f t="shared" si="4"/>
        <v>4.8359374257385172E-2</v>
      </c>
      <c r="C129" s="127">
        <f t="shared" si="5"/>
        <v>-8.0202449554259425E-2</v>
      </c>
      <c r="D129" s="127">
        <f t="shared" si="6"/>
        <v>-6.1968395941746759E-2</v>
      </c>
      <c r="E129" s="127">
        <f t="shared" si="7"/>
        <v>2.9082991681109782E-2</v>
      </c>
      <c r="F129" s="127">
        <f t="shared" si="8"/>
        <v>-3.4831583020106902E-2</v>
      </c>
      <c r="G129" s="127">
        <f t="shared" si="9"/>
        <v>-8.2366121788242208E-2</v>
      </c>
      <c r="H129" s="127">
        <f t="shared" si="10"/>
        <v>3.3063689278341288E-2</v>
      </c>
      <c r="I129" s="127">
        <f t="shared" si="11"/>
        <v>-5.9324230034759048E-2</v>
      </c>
      <c r="J129" s="127">
        <f t="shared" si="12"/>
        <v>-5.0598691428161674E-2</v>
      </c>
      <c r="K129" s="127">
        <f t="shared" si="13"/>
        <v>1.0776847419161729E-2</v>
      </c>
      <c r="L129" s="127">
        <f t="shared" si="14"/>
        <v>3.602537809697335E-2</v>
      </c>
      <c r="M129" s="127">
        <f t="shared" si="15"/>
        <v>0.10776401840068917</v>
      </c>
      <c r="N129" s="127">
        <f t="shared" si="16"/>
        <v>-6.2774148202264762E-2</v>
      </c>
      <c r="O129" s="127">
        <f t="shared" si="17"/>
        <v>2.1949388091572868E-2</v>
      </c>
      <c r="P129" s="127">
        <f t="shared" si="18"/>
        <v>-0.10121552694985056</v>
      </c>
      <c r="Q129" s="127">
        <f t="shared" si="19"/>
        <v>5.6299751420166855E-2</v>
      </c>
      <c r="R129" s="127">
        <f t="shared" si="20"/>
        <v>2.2442216763860264E-2</v>
      </c>
      <c r="S129" s="127">
        <f t="shared" si="21"/>
        <v>4.4478350953100577E-2</v>
      </c>
      <c r="T129" s="127">
        <f t="shared" si="22"/>
        <v>-3.1426019652652015E-2</v>
      </c>
      <c r="U129" s="127">
        <f t="shared" si="23"/>
        <v>3.0480764195755433E-2</v>
      </c>
      <c r="V129" s="127">
        <f t="shared" si="24"/>
        <v>3.6581339093799292E-2</v>
      </c>
      <c r="W129" s="127">
        <f t="shared" si="25"/>
        <v>4.4181539574809039E-2</v>
      </c>
      <c r="X129" s="127">
        <f t="shared" si="26"/>
        <v>-4.6276586171353939E-2</v>
      </c>
      <c r="Y129" s="127">
        <f t="shared" si="27"/>
        <v>-2.8965901335704699E-2</v>
      </c>
      <c r="Z129" s="127">
        <f t="shared" si="28"/>
        <v>-0.21249388690397575</v>
      </c>
      <c r="AA129" s="127">
        <f t="shared" si="29"/>
        <v>-6.1778935752655584E-2</v>
      </c>
      <c r="AB129" s="127">
        <f t="shared" si="30"/>
        <v>7.3911308956170652E-2</v>
      </c>
      <c r="AC129" s="127">
        <f t="shared" si="31"/>
        <v>-2.0066794871584536E-2</v>
      </c>
      <c r="AD129" s="127">
        <f t="shared" si="32"/>
        <v>-0.12686571492664478</v>
      </c>
      <c r="AE129" s="127">
        <f t="shared" si="33"/>
        <v>-9.462311706293091E-3</v>
      </c>
      <c r="AF129" s="127">
        <f t="shared" si="34"/>
        <v>-3.9660528095888131E-2</v>
      </c>
    </row>
    <row r="130" spans="1:32" x14ac:dyDescent="0.3">
      <c r="A130" s="126">
        <v>43344</v>
      </c>
      <c r="B130" s="127">
        <f t="shared" si="4"/>
        <v>-4.9144815712898499E-2</v>
      </c>
      <c r="C130" s="127">
        <f t="shared" si="5"/>
        <v>7.1120877919553752E-2</v>
      </c>
      <c r="D130" s="127">
        <f t="shared" si="6"/>
        <v>-7.0896147497152395E-2</v>
      </c>
      <c r="E130" s="127">
        <f t="shared" si="7"/>
        <v>1.4730422881716502E-2</v>
      </c>
      <c r="F130" s="127">
        <f t="shared" si="8"/>
        <v>3.9196631832998249E-2</v>
      </c>
      <c r="G130" s="127">
        <f t="shared" si="9"/>
        <v>-2.1698067135558746E-2</v>
      </c>
      <c r="H130" s="127">
        <f t="shared" si="10"/>
        <v>-2.9089859651290607E-2</v>
      </c>
      <c r="I130" s="127">
        <f t="shared" si="11"/>
        <v>-2.3763319909621518E-2</v>
      </c>
      <c r="J130" s="127">
        <f t="shared" si="12"/>
        <v>-0.13079857857994628</v>
      </c>
      <c r="K130" s="127">
        <f t="shared" si="13"/>
        <v>-6.8676940132652978E-2</v>
      </c>
      <c r="L130" s="127">
        <f t="shared" si="14"/>
        <v>3.4858288548394976E-2</v>
      </c>
      <c r="M130" s="127">
        <f t="shared" si="15"/>
        <v>-3.8657150332473161E-2</v>
      </c>
      <c r="N130" s="127">
        <f t="shared" si="16"/>
        <v>5.9251033266440323E-2</v>
      </c>
      <c r="O130" s="127">
        <f t="shared" si="17"/>
        <v>9.5524424824452364E-2</v>
      </c>
      <c r="P130" s="127">
        <f t="shared" si="18"/>
        <v>-0.12071934579311222</v>
      </c>
      <c r="Q130" s="127">
        <f t="shared" si="19"/>
        <v>-5.7602320878200122E-2</v>
      </c>
      <c r="R130" s="127">
        <f t="shared" si="20"/>
        <v>-2.3206829603320635E-2</v>
      </c>
      <c r="S130" s="127">
        <f t="shared" si="21"/>
        <v>-4.0634860150228387E-2</v>
      </c>
      <c r="T130" s="127">
        <f t="shared" si="22"/>
        <v>-3.2625886710928996E-2</v>
      </c>
      <c r="U130" s="127">
        <f t="shared" si="23"/>
        <v>1.4915736621617917E-2</v>
      </c>
      <c r="V130" s="127">
        <f t="shared" si="24"/>
        <v>-5.989069243473974E-2</v>
      </c>
      <c r="W130" s="127">
        <f t="shared" si="25"/>
        <v>1.5628861747963255E-2</v>
      </c>
      <c r="X130" s="127">
        <f t="shared" si="26"/>
        <v>-4.193347916667256E-2</v>
      </c>
      <c r="Y130" s="127">
        <f t="shared" si="27"/>
        <v>-3.8641428431022744E-2</v>
      </c>
      <c r="Z130" s="127">
        <f t="shared" si="28"/>
        <v>-4.4811130294222797E-2</v>
      </c>
      <c r="AA130" s="127">
        <f t="shared" si="29"/>
        <v>-6.6941121031181258E-2</v>
      </c>
      <c r="AB130" s="127">
        <f t="shared" si="30"/>
        <v>-0.12650057436250645</v>
      </c>
      <c r="AC130" s="127">
        <f t="shared" si="31"/>
        <v>1.9174906015696467E-2</v>
      </c>
      <c r="AD130" s="127">
        <f t="shared" si="32"/>
        <v>9.7481275048138333E-2</v>
      </c>
      <c r="AE130" s="127">
        <f t="shared" si="33"/>
        <v>2.7997687806837401E-3</v>
      </c>
      <c r="AF130" s="127">
        <f t="shared" si="34"/>
        <v>-1.4114553491909529E-2</v>
      </c>
    </row>
    <row r="131" spans="1:32" x14ac:dyDescent="0.3">
      <c r="A131" s="126">
        <v>43374</v>
      </c>
      <c r="B131" s="127">
        <f t="shared" si="4"/>
        <v>-5.3520277783469711E-2</v>
      </c>
      <c r="C131" s="127">
        <f t="shared" si="5"/>
        <v>-2.1411305153267772E-2</v>
      </c>
      <c r="D131" s="127">
        <f t="shared" si="6"/>
        <v>-0.16364124564961871</v>
      </c>
      <c r="E131" s="127">
        <f t="shared" si="7"/>
        <v>-0.12112587947767364</v>
      </c>
      <c r="F131" s="127">
        <f t="shared" si="8"/>
        <v>-4.5492585503038842E-2</v>
      </c>
      <c r="G131" s="127">
        <f t="shared" si="9"/>
        <v>-8.8262525442938139E-2</v>
      </c>
      <c r="H131" s="127">
        <f t="shared" si="10"/>
        <v>-0.10072301540508925</v>
      </c>
      <c r="I131" s="127">
        <f t="shared" si="11"/>
        <v>-3.6529459069120918E-2</v>
      </c>
      <c r="J131" s="127">
        <f t="shared" si="12"/>
        <v>-0.11726522752135891</v>
      </c>
      <c r="K131" s="127">
        <f t="shared" si="13"/>
        <v>-1.7121546321251586E-2</v>
      </c>
      <c r="L131" s="127">
        <f t="shared" si="14"/>
        <v>-0.10654669352040494</v>
      </c>
      <c r="M131" s="127">
        <f t="shared" si="15"/>
        <v>-3.3714441952148344E-2</v>
      </c>
      <c r="N131" s="127">
        <f t="shared" si="16"/>
        <v>-3.2728148751878176E-2</v>
      </c>
      <c r="O131" s="127">
        <f t="shared" si="17"/>
        <v>-0.2321763999268795</v>
      </c>
      <c r="P131" s="127">
        <f t="shared" si="18"/>
        <v>-1.5597379398184948E-2</v>
      </c>
      <c r="Q131" s="127">
        <f t="shared" si="19"/>
        <v>-4.892422661898526E-2</v>
      </c>
      <c r="R131" s="127">
        <f t="shared" si="20"/>
        <v>5.4518132943266871E-2</v>
      </c>
      <c r="S131" s="127">
        <f t="shared" si="21"/>
        <v>-4.1161387250558831E-2</v>
      </c>
      <c r="T131" s="127">
        <f t="shared" si="22"/>
        <v>-0.21506725691059686</v>
      </c>
      <c r="U131" s="127">
        <f t="shared" si="23"/>
        <v>-4.523590244668458E-2</v>
      </c>
      <c r="V131" s="127">
        <f t="shared" si="24"/>
        <v>-2.9084530978943361E-2</v>
      </c>
      <c r="W131" s="127">
        <f t="shared" si="25"/>
        <v>-0.24455770269927204</v>
      </c>
      <c r="X131" s="127">
        <f t="shared" si="26"/>
        <v>-2.2758899674673146E-2</v>
      </c>
      <c r="Y131" s="127">
        <f t="shared" si="27"/>
        <v>-0.11643678087178201</v>
      </c>
      <c r="Z131" s="127">
        <f t="shared" si="28"/>
        <v>-1.9239404722508402E-2</v>
      </c>
      <c r="AA131" s="127">
        <f t="shared" si="29"/>
        <v>-0.28897346949603236</v>
      </c>
      <c r="AB131" s="127">
        <f t="shared" si="30"/>
        <v>4.4397271415563246E-2</v>
      </c>
      <c r="AC131" s="127">
        <f t="shared" si="31"/>
        <v>-1.6854465076263918E-2</v>
      </c>
      <c r="AD131" s="127">
        <f t="shared" si="32"/>
        <v>-0.1475186368761911</v>
      </c>
      <c r="AE131" s="127">
        <f t="shared" si="33"/>
        <v>-3.875025864435825E-2</v>
      </c>
      <c r="AF131" s="127">
        <f t="shared" si="34"/>
        <v>-7.2066362494916228E-2</v>
      </c>
    </row>
    <row r="132" spans="1:32" x14ac:dyDescent="0.3">
      <c r="A132" s="126">
        <v>43405</v>
      </c>
      <c r="B132" s="127">
        <f t="shared" si="4"/>
        <v>5.2727362996911824E-2</v>
      </c>
      <c r="C132" s="127">
        <f t="shared" si="5"/>
        <v>-1.5594303687716071E-3</v>
      </c>
      <c r="D132" s="127">
        <f t="shared" si="6"/>
        <v>0.25507882133187215</v>
      </c>
      <c r="E132" s="127">
        <f t="shared" si="7"/>
        <v>-4.8289835337467744E-2</v>
      </c>
      <c r="F132" s="127">
        <f t="shared" si="8"/>
        <v>5.7856109316033778E-3</v>
      </c>
      <c r="G132" s="127">
        <f t="shared" si="9"/>
        <v>-2.9871480139372682E-4</v>
      </c>
      <c r="H132" s="127">
        <f t="shared" si="10"/>
        <v>-4.8801321211046182E-4</v>
      </c>
      <c r="I132" s="127">
        <f t="shared" si="11"/>
        <v>-5.136579448271774E-2</v>
      </c>
      <c r="J132" s="127">
        <f t="shared" si="12"/>
        <v>2.6244382381420642E-2</v>
      </c>
      <c r="K132" s="127">
        <f t="shared" si="13"/>
        <v>-5.206922863737562E-2</v>
      </c>
      <c r="L132" s="127">
        <f t="shared" si="14"/>
        <v>-0.21505067587164881</v>
      </c>
      <c r="M132" s="127">
        <f t="shared" si="15"/>
        <v>-8.5433122661620564E-2</v>
      </c>
      <c r="N132" s="127">
        <f t="shared" si="16"/>
        <v>1.2770354545598253E-3</v>
      </c>
      <c r="O132" s="127">
        <f t="shared" si="17"/>
        <v>-1.8846470060994457E-2</v>
      </c>
      <c r="P132" s="127">
        <f t="shared" si="18"/>
        <v>-0.12556099149124667</v>
      </c>
      <c r="Q132" s="127">
        <f t="shared" si="19"/>
        <v>4.7835840098336489E-2</v>
      </c>
      <c r="R132" s="127">
        <f t="shared" si="20"/>
        <v>2.1832210948674321E-2</v>
      </c>
      <c r="S132" s="127">
        <f t="shared" si="21"/>
        <v>-1.458069984878246E-3</v>
      </c>
      <c r="T132" s="127">
        <f t="shared" si="22"/>
        <v>9.7263060072987406E-2</v>
      </c>
      <c r="U132" s="127">
        <f t="shared" si="23"/>
        <v>-3.485806763365519E-2</v>
      </c>
      <c r="V132" s="127">
        <f t="shared" si="24"/>
        <v>3.8355590674672459E-2</v>
      </c>
      <c r="W132" s="127">
        <f t="shared" si="25"/>
        <v>3.6879528016327892E-2</v>
      </c>
      <c r="X132" s="127">
        <f t="shared" si="26"/>
        <v>5.3852199285296998E-2</v>
      </c>
      <c r="Y132" s="127">
        <f t="shared" si="27"/>
        <v>-5.3742541417503585E-2</v>
      </c>
      <c r="Z132" s="127">
        <f t="shared" si="28"/>
        <v>-9.0771623389328981E-2</v>
      </c>
      <c r="AA132" s="127">
        <f t="shared" si="29"/>
        <v>-8.5139597844801143E-2</v>
      </c>
      <c r="AB132" s="127">
        <f t="shared" si="30"/>
        <v>-4.6138185697580242E-2</v>
      </c>
      <c r="AC132" s="127">
        <f t="shared" si="31"/>
        <v>7.97679026212883E-3</v>
      </c>
      <c r="AD132" s="127">
        <f t="shared" si="32"/>
        <v>-0.10917584104797759</v>
      </c>
      <c r="AE132" s="127">
        <f t="shared" si="33"/>
        <v>-7.1100852743428734E-3</v>
      </c>
      <c r="AF132" s="127">
        <f t="shared" si="34"/>
        <v>-2.1340400905094932E-2</v>
      </c>
    </row>
    <row r="133" spans="1:32" x14ac:dyDescent="0.3">
      <c r="A133" s="126">
        <v>43435</v>
      </c>
      <c r="B133" s="127">
        <f t="shared" si="4"/>
        <v>-6.0646529549220882E-2</v>
      </c>
      <c r="C133" s="127">
        <f t="shared" si="5"/>
        <v>-7.1876812815955926E-2</v>
      </c>
      <c r="D133" s="127">
        <f t="shared" si="6"/>
        <v>-8.610567802362952E-2</v>
      </c>
      <c r="E133" s="127">
        <f t="shared" si="7"/>
        <v>-5.2855111737077805E-2</v>
      </c>
      <c r="F133" s="127">
        <f t="shared" si="8"/>
        <v>-6.8167005803553976E-2</v>
      </c>
      <c r="G133" s="127">
        <f t="shared" si="9"/>
        <v>-5.7247607283006929E-2</v>
      </c>
      <c r="H133" s="127">
        <f t="shared" si="10"/>
        <v>-0.16873616602569727</v>
      </c>
      <c r="I133" s="127">
        <f t="shared" si="11"/>
        <v>-7.8549761385054068E-2</v>
      </c>
      <c r="J133" s="127">
        <f t="shared" si="12"/>
        <v>-8.0423049739381747E-2</v>
      </c>
      <c r="K133" s="127">
        <f t="shared" si="13"/>
        <v>-1.9025650660846414E-2</v>
      </c>
      <c r="L133" s="127">
        <f t="shared" si="14"/>
        <v>-0.10875520196885619</v>
      </c>
      <c r="M133" s="127">
        <f t="shared" si="15"/>
        <v>-8.5639747736941024E-2</v>
      </c>
      <c r="N133" s="127">
        <f t="shared" si="16"/>
        <v>-9.25684426256006E-2</v>
      </c>
      <c r="O133" s="127">
        <f t="shared" si="17"/>
        <v>-0.10609456145580101</v>
      </c>
      <c r="P133" s="127">
        <f t="shared" si="18"/>
        <v>-0.15159055841262248</v>
      </c>
      <c r="Q133" s="127">
        <f t="shared" si="19"/>
        <v>-8.593673128578394E-2</v>
      </c>
      <c r="R133" s="127">
        <f t="shared" si="20"/>
        <v>-8.5542392793840877E-2</v>
      </c>
      <c r="S133" s="127">
        <f t="shared" si="21"/>
        <v>-8.2048013910014608E-2</v>
      </c>
      <c r="T133" s="127">
        <f t="shared" si="22"/>
        <v>-1.0039496205160609E-2</v>
      </c>
      <c r="U133" s="127">
        <f t="shared" si="23"/>
        <v>-0.15987597785194724</v>
      </c>
      <c r="V133" s="127">
        <f t="shared" si="24"/>
        <v>-6.441009247255905E-2</v>
      </c>
      <c r="W133" s="127">
        <f t="shared" si="25"/>
        <v>-0.23766768158151905</v>
      </c>
      <c r="X133" s="127">
        <f t="shared" si="26"/>
        <v>-4.0473248706208623E-2</v>
      </c>
      <c r="Y133" s="127">
        <f t="shared" si="27"/>
        <v>-6.210002424881407E-2</v>
      </c>
      <c r="Z133" s="127">
        <f t="shared" si="28"/>
        <v>-8.3173375033340796E-2</v>
      </c>
      <c r="AA133" s="127">
        <f t="shared" si="29"/>
        <v>-0.2609314778859898</v>
      </c>
      <c r="AB133" s="127">
        <f t="shared" si="30"/>
        <v>-5.8396514517878799E-2</v>
      </c>
      <c r="AC133" s="127">
        <f t="shared" si="31"/>
        <v>-1.6676282363505546E-2</v>
      </c>
      <c r="AD133" s="127">
        <f t="shared" si="32"/>
        <v>-8.7094891386281528E-2</v>
      </c>
      <c r="AE133" s="127">
        <f t="shared" si="33"/>
        <v>-6.0056389961014797E-2</v>
      </c>
      <c r="AF133" s="127">
        <f t="shared" si="34"/>
        <v>-6.8616327649328276E-2</v>
      </c>
    </row>
    <row r="134" spans="1:32" x14ac:dyDescent="0.3">
      <c r="A134" s="126">
        <v>43466</v>
      </c>
      <c r="B134" s="127">
        <f t="shared" si="4"/>
        <v>-6.7812365118310111E-2</v>
      </c>
      <c r="C134" s="127">
        <f t="shared" si="5"/>
        <v>6.4994383851584389E-2</v>
      </c>
      <c r="D134" s="127">
        <f t="shared" si="6"/>
        <v>4.619459370699748E-3</v>
      </c>
      <c r="E134" s="127">
        <f t="shared" si="7"/>
        <v>2.9502090278308905E-2</v>
      </c>
      <c r="F134" s="127">
        <f t="shared" si="8"/>
        <v>4.9016224212184323E-2</v>
      </c>
      <c r="G134" s="127">
        <f t="shared" si="9"/>
        <v>-2.3469507673791211E-2</v>
      </c>
      <c r="H134" s="127">
        <f t="shared" si="10"/>
        <v>6.7974239212453158E-2</v>
      </c>
      <c r="I134" s="127">
        <f t="shared" si="11"/>
        <v>0.11877304286296222</v>
      </c>
      <c r="J134" s="127">
        <f t="shared" si="12"/>
        <v>9.4161984702048965E-2</v>
      </c>
      <c r="K134" s="127">
        <f t="shared" si="13"/>
        <v>4.0402784388710825E-2</v>
      </c>
      <c r="L134" s="127">
        <f t="shared" si="14"/>
        <v>0.12149116140004187</v>
      </c>
      <c r="M134" s="127">
        <f t="shared" si="15"/>
        <v>0.11002421907309823</v>
      </c>
      <c r="N134" s="127">
        <f t="shared" si="16"/>
        <v>9.2615389297016654E-2</v>
      </c>
      <c r="O134" s="127">
        <f t="shared" si="17"/>
        <v>4.5056121007450697E-2</v>
      </c>
      <c r="P134" s="127">
        <f t="shared" si="18"/>
        <v>0.25184021554441099</v>
      </c>
      <c r="Q134" s="127">
        <f t="shared" si="19"/>
        <v>9.2609170542761909E-2</v>
      </c>
      <c r="R134" s="127">
        <f t="shared" si="20"/>
        <v>1.0911116288327589E-2</v>
      </c>
      <c r="S134" s="127">
        <f t="shared" si="21"/>
        <v>9.2343277088125536E-2</v>
      </c>
      <c r="T134" s="127">
        <f t="shared" si="22"/>
        <v>0.1269028094916024</v>
      </c>
      <c r="U134" s="127">
        <f t="shared" si="23"/>
        <v>0.16014176872507094</v>
      </c>
      <c r="V134" s="127">
        <f t="shared" si="24"/>
        <v>7.839103125658875E-2</v>
      </c>
      <c r="W134" s="127">
        <f t="shared" si="25"/>
        <v>0.12839180368709288</v>
      </c>
      <c r="X134" s="127">
        <f t="shared" si="26"/>
        <v>0.1174347140118502</v>
      </c>
      <c r="Y134" s="127">
        <f t="shared" si="27"/>
        <v>5.663607278426952E-2</v>
      </c>
      <c r="Z134" s="127">
        <f t="shared" si="28"/>
        <v>0.13879034222832032</v>
      </c>
      <c r="AA134" s="127">
        <f t="shared" si="29"/>
        <v>0.27110375351062382</v>
      </c>
      <c r="AB134" s="127">
        <f t="shared" si="30"/>
        <v>0.10884213069606724</v>
      </c>
      <c r="AC134" s="127">
        <f t="shared" si="31"/>
        <v>1.8458827039786154E-2</v>
      </c>
      <c r="AD134" s="127">
        <f t="shared" si="32"/>
        <v>4.1736197927081178E-2</v>
      </c>
      <c r="AE134" s="127">
        <f t="shared" si="33"/>
        <v>8.0324604313476072E-2</v>
      </c>
      <c r="AF134" s="127">
        <f t="shared" si="34"/>
        <v>5.195467607705001E-2</v>
      </c>
    </row>
    <row r="135" spans="1:32" x14ac:dyDescent="0.3">
      <c r="A135" s="126">
        <v>43497</v>
      </c>
      <c r="B135" s="127">
        <f t="shared" si="4"/>
        <v>3.2330522569224245E-2</v>
      </c>
      <c r="C135" s="127">
        <f t="shared" si="5"/>
        <v>1.2724552042614187E-2</v>
      </c>
      <c r="D135" s="127">
        <f t="shared" si="6"/>
        <v>-7.420077551731119E-2</v>
      </c>
      <c r="E135" s="127">
        <f t="shared" si="7"/>
        <v>3.4858274525618668E-2</v>
      </c>
      <c r="F135" s="127">
        <f t="shared" si="8"/>
        <v>5.0827037666930162E-2</v>
      </c>
      <c r="G135" s="127">
        <f t="shared" si="9"/>
        <v>-3.2293873566029588E-3</v>
      </c>
      <c r="H135" s="127">
        <f t="shared" si="10"/>
        <v>5.2244252912969955E-2</v>
      </c>
      <c r="I135" s="127">
        <f t="shared" si="11"/>
        <v>1.994457985686721E-2</v>
      </c>
      <c r="J135" s="127">
        <f t="shared" si="12"/>
        <v>-2.3077264330872233E-2</v>
      </c>
      <c r="K135" s="127">
        <f t="shared" si="13"/>
        <v>1.3611808677573462E-2</v>
      </c>
      <c r="L135" s="127">
        <f t="shared" si="14"/>
        <v>1.5453369610156545E-2</v>
      </c>
      <c r="M135" s="127">
        <f t="shared" si="15"/>
        <v>8.1419420352359315E-3</v>
      </c>
      <c r="N135" s="127">
        <f t="shared" si="16"/>
        <v>2.8915239103993479E-2</v>
      </c>
      <c r="O135" s="127">
        <f t="shared" si="17"/>
        <v>0.16562583543571568</v>
      </c>
      <c r="P135" s="127">
        <f t="shared" si="18"/>
        <v>3.8214042394374148E-3</v>
      </c>
      <c r="Q135" s="127">
        <f t="shared" si="19"/>
        <v>-3.5745692133223941E-2</v>
      </c>
      <c r="R135" s="127">
        <f t="shared" si="20"/>
        <v>-1.5488277728225246E-2</v>
      </c>
      <c r="S135" s="127">
        <f t="shared" si="21"/>
        <v>-5.5228068934579579E-2</v>
      </c>
      <c r="T135" s="127">
        <f t="shared" si="22"/>
        <v>-1.3134577315484005E-2</v>
      </c>
      <c r="U135" s="127">
        <f t="shared" si="23"/>
        <v>-1.0647199309096345E-2</v>
      </c>
      <c r="V135" s="127">
        <f t="shared" si="24"/>
        <v>-6.8812980425769707E-2</v>
      </c>
      <c r="W135" s="127">
        <f t="shared" si="25"/>
        <v>6.8488468943667613E-2</v>
      </c>
      <c r="X135" s="127">
        <f t="shared" si="26"/>
        <v>3.6498424328904547E-3</v>
      </c>
      <c r="Y135" s="127">
        <f t="shared" si="27"/>
        <v>5.0035290545019942E-2</v>
      </c>
      <c r="Z135" s="127">
        <f t="shared" si="28"/>
        <v>5.2897471159770205E-2</v>
      </c>
      <c r="AA135" s="127">
        <f t="shared" si="29"/>
        <v>0.19591983550824055</v>
      </c>
      <c r="AB135" s="127">
        <f t="shared" si="30"/>
        <v>-3.2803055573849653E-3</v>
      </c>
      <c r="AC135" s="127">
        <f t="shared" si="31"/>
        <v>4.9986216380519845E-2</v>
      </c>
      <c r="AD135" s="127">
        <f t="shared" si="32"/>
        <v>-0.1529313945300213</v>
      </c>
      <c r="AE135" s="127">
        <f t="shared" si="33"/>
        <v>4.2465326652921243E-2</v>
      </c>
      <c r="AF135" s="127">
        <f t="shared" si="34"/>
        <v>2.561736871791279E-2</v>
      </c>
    </row>
    <row r="136" spans="1:32" x14ac:dyDescent="0.3">
      <c r="A136" s="126">
        <v>43525</v>
      </c>
      <c r="B136" s="127">
        <f t="shared" si="4"/>
        <v>2.6668347218642811E-2</v>
      </c>
      <c r="C136" s="127">
        <f t="shared" si="5"/>
        <v>-7.5191938151796131E-2</v>
      </c>
      <c r="D136" s="127">
        <f t="shared" si="6"/>
        <v>-1.5906186179525841E-2</v>
      </c>
      <c r="E136" s="127">
        <f t="shared" si="7"/>
        <v>8.1330496803610042E-2</v>
      </c>
      <c r="F136" s="127">
        <f t="shared" si="8"/>
        <v>8.2869947378941319E-3</v>
      </c>
      <c r="G136" s="127">
        <f t="shared" si="9"/>
        <v>-8.8924295343775998E-3</v>
      </c>
      <c r="H136" s="127">
        <f t="shared" si="10"/>
        <v>5.3124914730418346E-2</v>
      </c>
      <c r="I136" s="127">
        <f t="shared" si="11"/>
        <v>-7.0440497668445498E-3</v>
      </c>
      <c r="J136" s="127">
        <f t="shared" si="12"/>
        <v>-0.10502048617684524</v>
      </c>
      <c r="K136" s="127">
        <f t="shared" si="13"/>
        <v>-7.5661478722980624E-2</v>
      </c>
      <c r="L136" s="127">
        <f t="shared" si="14"/>
        <v>4.037102151519157E-2</v>
      </c>
      <c r="M136" s="127">
        <f t="shared" si="15"/>
        <v>-5.9212066878867754E-3</v>
      </c>
      <c r="N136" s="127">
        <f t="shared" si="16"/>
        <v>-4.9420617960579852E-2</v>
      </c>
      <c r="O136" s="127">
        <f t="shared" si="17"/>
        <v>-2.1928136598402599E-2</v>
      </c>
      <c r="P136" s="127">
        <f t="shared" si="18"/>
        <v>-2.3582080702909403E-3</v>
      </c>
      <c r="Q136" s="127">
        <f t="shared" si="19"/>
        <v>7.1943454823639535E-2</v>
      </c>
      <c r="R136" s="127">
        <f t="shared" si="20"/>
        <v>0.10638217551844061</v>
      </c>
      <c r="S136" s="127">
        <f t="shared" si="21"/>
        <v>1.8480153042482579E-2</v>
      </c>
      <c r="T136" s="127">
        <f t="shared" si="22"/>
        <v>0.10290586119515691</v>
      </c>
      <c r="U136" s="127">
        <f t="shared" si="23"/>
        <v>5.5939121985560496E-2</v>
      </c>
      <c r="V136" s="127">
        <f t="shared" si="24"/>
        <v>4.5405351095456278E-2</v>
      </c>
      <c r="W136" s="127">
        <f t="shared" si="25"/>
        <v>4.352533555590072E-2</v>
      </c>
      <c r="X136" s="127">
        <f t="shared" si="26"/>
        <v>2.5067240257922997E-2</v>
      </c>
      <c r="Y136" s="127">
        <f t="shared" si="27"/>
        <v>-2.0476744593829348E-2</v>
      </c>
      <c r="Z136" s="127">
        <f t="shared" si="28"/>
        <v>-6.2683671866033325E-2</v>
      </c>
      <c r="AA136" s="127">
        <f t="shared" si="29"/>
        <v>-3.5831208235710177E-2</v>
      </c>
      <c r="AB136" s="127">
        <f t="shared" si="30"/>
        <v>2.0864763037018771E-2</v>
      </c>
      <c r="AC136" s="127">
        <f t="shared" si="31"/>
        <v>2.1190308660547212E-2</v>
      </c>
      <c r="AD136" s="127">
        <f t="shared" si="32"/>
        <v>-6.1346310201857698E-2</v>
      </c>
      <c r="AE136" s="127">
        <f t="shared" si="33"/>
        <v>7.767217190212638E-3</v>
      </c>
      <c r="AF136" s="127">
        <f t="shared" si="34"/>
        <v>-3.6769269997644375E-3</v>
      </c>
    </row>
    <row r="137" spans="1:32" x14ac:dyDescent="0.3">
      <c r="A137" s="126">
        <v>43556</v>
      </c>
      <c r="B137" s="127">
        <f t="shared" si="4"/>
        <v>3.3293833423968921E-3</v>
      </c>
      <c r="C137" s="127">
        <f t="shared" si="5"/>
        <v>9.7257518516717503E-2</v>
      </c>
      <c r="D137" s="127">
        <f t="shared" si="6"/>
        <v>7.1089920836978876E-2</v>
      </c>
      <c r="E137" s="127">
        <f t="shared" si="7"/>
        <v>9.8565970907087616E-2</v>
      </c>
      <c r="F137" s="127">
        <f t="shared" si="8"/>
        <v>7.4705768668574507E-2</v>
      </c>
      <c r="G137" s="127">
        <f t="shared" si="9"/>
        <v>9.9679622411852339E-2</v>
      </c>
      <c r="H137" s="127">
        <f t="shared" si="10"/>
        <v>5.6908473363759343E-2</v>
      </c>
      <c r="I137" s="127">
        <f t="shared" si="11"/>
        <v>0.11102028705105335</v>
      </c>
      <c r="J137" s="127">
        <f t="shared" si="12"/>
        <v>0.15555358363479815</v>
      </c>
      <c r="K137" s="127">
        <f t="shared" si="13"/>
        <v>0.10104726475462032</v>
      </c>
      <c r="L137" s="127">
        <f t="shared" si="14"/>
        <v>4.4374379549638958E-2</v>
      </c>
      <c r="M137" s="127">
        <f t="shared" si="15"/>
        <v>3.6237820723822277E-2</v>
      </c>
      <c r="N137" s="127">
        <f t="shared" si="16"/>
        <v>9.764634605370584E-2</v>
      </c>
      <c r="O137" s="127">
        <f t="shared" si="17"/>
        <v>6.2641609390350184E-2</v>
      </c>
      <c r="P137" s="127">
        <f t="shared" si="18"/>
        <v>0.19517341707104008</v>
      </c>
      <c r="Q137" s="127">
        <f t="shared" si="19"/>
        <v>-4.7274170488635525E-2</v>
      </c>
      <c r="R137" s="127">
        <f t="shared" si="20"/>
        <v>-7.5636972352535914E-2</v>
      </c>
      <c r="S137" s="127">
        <f t="shared" si="21"/>
        <v>2.954051178327316E-2</v>
      </c>
      <c r="T137" s="127">
        <f t="shared" si="22"/>
        <v>-5.3216439401572294E-2</v>
      </c>
      <c r="U137" s="127">
        <f t="shared" si="23"/>
        <v>2.6160850942482994E-2</v>
      </c>
      <c r="V137" s="127">
        <f t="shared" si="24"/>
        <v>-8.3464054911263311E-2</v>
      </c>
      <c r="W137" s="127">
        <f t="shared" si="25"/>
        <v>4.229330415154036E-2</v>
      </c>
      <c r="X137" s="127">
        <f t="shared" si="26"/>
        <v>-3.2293825058332407E-2</v>
      </c>
      <c r="Y137" s="127">
        <f t="shared" si="27"/>
        <v>0.10249912513632214</v>
      </c>
      <c r="Z137" s="127">
        <f t="shared" si="28"/>
        <v>0.10134575114180136</v>
      </c>
      <c r="AA137" s="127">
        <f t="shared" si="29"/>
        <v>0.23990266489345891</v>
      </c>
      <c r="AB137" s="127">
        <f t="shared" si="30"/>
        <v>4.2988206483760109E-2</v>
      </c>
      <c r="AC137" s="127">
        <f t="shared" si="31"/>
        <v>4.4355383265394205E-2</v>
      </c>
      <c r="AD137" s="127">
        <f t="shared" si="32"/>
        <v>3.2947109645218388E-2</v>
      </c>
      <c r="AE137" s="127">
        <f t="shared" si="33"/>
        <v>3.2071662262765706E-2</v>
      </c>
      <c r="AF137" s="127">
        <f t="shared" si="34"/>
        <v>6.3988133481994947E-2</v>
      </c>
    </row>
    <row r="138" spans="1:32" x14ac:dyDescent="0.3">
      <c r="A138" s="126">
        <v>43586</v>
      </c>
      <c r="B138" s="127">
        <f t="shared" si="4"/>
        <v>-8.952313944375255E-2</v>
      </c>
      <c r="C138" s="127">
        <f t="shared" si="5"/>
        <v>-0.10811864788290146</v>
      </c>
      <c r="D138" s="127">
        <f t="shared" si="6"/>
        <v>-8.2910093962052872E-2</v>
      </c>
      <c r="E138" s="127">
        <f t="shared" si="7"/>
        <v>-4.4960301968241481E-2</v>
      </c>
      <c r="F138" s="127">
        <f t="shared" si="8"/>
        <v>-8.2427723896544097E-2</v>
      </c>
      <c r="G138" s="127">
        <f t="shared" si="9"/>
        <v>-5.7883030325787205E-2</v>
      </c>
      <c r="H138" s="127">
        <f t="shared" si="10"/>
        <v>-0.1647019171679977</v>
      </c>
      <c r="I138" s="127">
        <f t="shared" si="11"/>
        <v>-0.22735459415348638</v>
      </c>
      <c r="J138" s="127">
        <f t="shared" si="12"/>
        <v>-0.28577062387190444</v>
      </c>
      <c r="K138" s="127">
        <f t="shared" si="13"/>
        <v>-0.19985245382956468</v>
      </c>
      <c r="L138" s="127">
        <f t="shared" si="14"/>
        <v>-1.9209796725340428E-2</v>
      </c>
      <c r="M138" s="127">
        <f t="shared" si="15"/>
        <v>9.1931365834446666E-2</v>
      </c>
      <c r="N138" s="127">
        <f t="shared" si="16"/>
        <v>-0.10575939253147086</v>
      </c>
      <c r="O138" s="127">
        <f t="shared" si="17"/>
        <v>1.7502705013295761E-2</v>
      </c>
      <c r="P138" s="127">
        <f t="shared" si="18"/>
        <v>-0.24130518209482704</v>
      </c>
      <c r="Q138" s="127">
        <f t="shared" si="19"/>
        <v>4.5805000832230117E-2</v>
      </c>
      <c r="R138" s="127">
        <f t="shared" si="20"/>
        <v>-9.9645423537525007E-2</v>
      </c>
      <c r="S138" s="127">
        <f t="shared" si="21"/>
        <v>3.0064876639365308E-2</v>
      </c>
      <c r="T138" s="127">
        <f t="shared" si="22"/>
        <v>-2.2952092328505511E-2</v>
      </c>
      <c r="U138" s="127">
        <f t="shared" si="23"/>
        <v>-9.2123742111280327E-2</v>
      </c>
      <c r="V138" s="127">
        <f t="shared" si="24"/>
        <v>4.5419148275353559E-2</v>
      </c>
      <c r="W138" s="127">
        <f t="shared" si="25"/>
        <v>-0.13765399632594025</v>
      </c>
      <c r="X138" s="127">
        <f t="shared" si="26"/>
        <v>-2.0639544345566078E-2</v>
      </c>
      <c r="Y138" s="127">
        <f t="shared" si="27"/>
        <v>-0.20333618812206838</v>
      </c>
      <c r="Z138" s="127">
        <f t="shared" si="28"/>
        <v>-0.18269981405881419</v>
      </c>
      <c r="AA138" s="127">
        <f t="shared" si="29"/>
        <v>-0.1595348520252628</v>
      </c>
      <c r="AB138" s="127">
        <f t="shared" si="30"/>
        <v>-7.9462708339901406E-2</v>
      </c>
      <c r="AC138" s="127">
        <f t="shared" si="31"/>
        <v>-3.1092254758830477E-2</v>
      </c>
      <c r="AD138" s="127">
        <f t="shared" si="32"/>
        <v>-9.1037725473988668E-2</v>
      </c>
      <c r="AE138" s="127">
        <f t="shared" si="33"/>
        <v>-5.6283856985068544E-3</v>
      </c>
      <c r="AF138" s="127">
        <f t="shared" si="34"/>
        <v>-5.5876003279653093E-2</v>
      </c>
    </row>
    <row r="139" spans="1:32" x14ac:dyDescent="0.3">
      <c r="A139" s="126">
        <v>43617</v>
      </c>
      <c r="B139" s="127">
        <f t="shared" si="4"/>
        <v>4.0762816398608494E-2</v>
      </c>
      <c r="C139" s="127">
        <f t="shared" si="5"/>
        <v>5.8132954259926803E-2</v>
      </c>
      <c r="D139" s="127">
        <f t="shared" si="6"/>
        <v>6.5718918265242968E-3</v>
      </c>
      <c r="E139" s="127">
        <f t="shared" si="7"/>
        <v>8.1535518139031149E-2</v>
      </c>
      <c r="F139" s="127">
        <f t="shared" si="8"/>
        <v>5.8663794306322868E-2</v>
      </c>
      <c r="G139" s="127">
        <f t="shared" si="9"/>
        <v>2.3763306449995962E-2</v>
      </c>
      <c r="H139" s="127">
        <f t="shared" si="10"/>
        <v>8.468356727575152E-2</v>
      </c>
      <c r="I139" s="127">
        <f t="shared" si="11"/>
        <v>5.3001761927739845E-2</v>
      </c>
      <c r="J139" s="127">
        <f t="shared" si="12"/>
        <v>-5.091252303369323E-2</v>
      </c>
      <c r="K139" s="127">
        <f t="shared" si="13"/>
        <v>5.0421330811709658E-2</v>
      </c>
      <c r="L139" s="127">
        <f t="shared" si="14"/>
        <v>8.0044584182507428E-2</v>
      </c>
      <c r="M139" s="127">
        <f t="shared" si="15"/>
        <v>3.8135315742618886E-2</v>
      </c>
      <c r="N139" s="127">
        <f t="shared" si="16"/>
        <v>2.1464644151636965E-2</v>
      </c>
      <c r="O139" s="127">
        <f t="shared" si="17"/>
        <v>-2.3768547266422704E-2</v>
      </c>
      <c r="P139" s="127">
        <f t="shared" si="18"/>
        <v>0.2418294979927072</v>
      </c>
      <c r="Q139" s="127">
        <f t="shared" si="19"/>
        <v>-0.12030292740147859</v>
      </c>
      <c r="R139" s="127">
        <f t="shared" si="20"/>
        <v>5.4957453127899701E-2</v>
      </c>
      <c r="S139" s="127">
        <f t="shared" si="21"/>
        <v>-4.6769422564187663E-3</v>
      </c>
      <c r="T139" s="127">
        <f t="shared" si="22"/>
        <v>-3.6126693278386329E-2</v>
      </c>
      <c r="U139" s="127">
        <f t="shared" si="23"/>
        <v>6.6689585473833163E-2</v>
      </c>
      <c r="V139" s="127">
        <f t="shared" si="24"/>
        <v>-0.27702362861908841</v>
      </c>
      <c r="W139" s="127">
        <f t="shared" si="25"/>
        <v>5.661526706769579E-2</v>
      </c>
      <c r="X139" s="127">
        <f t="shared" si="26"/>
        <v>2.3782129010744602E-2</v>
      </c>
      <c r="Y139" s="127">
        <f t="shared" si="27"/>
        <v>8.0636982017183792E-2</v>
      </c>
      <c r="Z139" s="127">
        <f t="shared" si="28"/>
        <v>5.9165586455700629E-2</v>
      </c>
      <c r="AA139" s="127">
        <f t="shared" si="29"/>
        <v>7.0698134259435233E-2</v>
      </c>
      <c r="AB139" s="127">
        <f t="shared" si="30"/>
        <v>9.7772022337138775E-2</v>
      </c>
      <c r="AC139" s="127">
        <f t="shared" si="31"/>
        <v>1.9634669496279955E-2</v>
      </c>
      <c r="AD139" s="127">
        <f t="shared" si="32"/>
        <v>0.13299939175911901</v>
      </c>
      <c r="AE139" s="127">
        <f t="shared" si="33"/>
        <v>6.5050353004256142E-2</v>
      </c>
      <c r="AF139" s="127">
        <f t="shared" si="34"/>
        <v>5.1139823060719576E-2</v>
      </c>
    </row>
    <row r="140" spans="1:32" x14ac:dyDescent="0.3">
      <c r="A140" s="126">
        <v>43647</v>
      </c>
      <c r="B140" s="127">
        <f t="shared" si="4"/>
        <v>5.2853638224120314E-2</v>
      </c>
      <c r="C140" s="127">
        <f t="shared" si="5"/>
        <v>1.5684649331643756E-2</v>
      </c>
      <c r="D140" s="127">
        <f t="shared" si="6"/>
        <v>-0.12089279747616649</v>
      </c>
      <c r="E140" s="127">
        <f t="shared" si="7"/>
        <v>-8.5787673605370429E-2</v>
      </c>
      <c r="F140" s="127">
        <f t="shared" si="8"/>
        <v>-1.28972146222197E-2</v>
      </c>
      <c r="G140" s="127">
        <f t="shared" si="9"/>
        <v>-6.1974583454289058E-2</v>
      </c>
      <c r="H140" s="127">
        <f t="shared" si="10"/>
        <v>1.4335713282995349E-2</v>
      </c>
      <c r="I140" s="127">
        <f t="shared" si="11"/>
        <v>-4.160081639240016E-2</v>
      </c>
      <c r="J140" s="127">
        <f t="shared" si="12"/>
        <v>7.2931586611868549E-2</v>
      </c>
      <c r="K140" s="127">
        <f t="shared" si="13"/>
        <v>2.8488470838399501E-2</v>
      </c>
      <c r="L140" s="127">
        <f t="shared" si="14"/>
        <v>6.6636188793454884E-3</v>
      </c>
      <c r="M140" s="127">
        <f t="shared" si="15"/>
        <v>4.4497420129071368E-2</v>
      </c>
      <c r="N140" s="127">
        <f t="shared" si="16"/>
        <v>4.0868188641231283E-2</v>
      </c>
      <c r="O140" s="127">
        <f t="shared" si="17"/>
        <v>-3.9627713697803602E-2</v>
      </c>
      <c r="P140" s="127">
        <f t="shared" si="18"/>
        <v>-5.4762425404879869E-2</v>
      </c>
      <c r="Q140" s="127">
        <f t="shared" si="19"/>
        <v>4.3735346174529323E-2</v>
      </c>
      <c r="R140" s="127">
        <f t="shared" si="20"/>
        <v>-1.5082820163961714E-3</v>
      </c>
      <c r="S140" s="127">
        <f t="shared" si="21"/>
        <v>5.242127938668073E-3</v>
      </c>
      <c r="T140" s="127">
        <f t="shared" si="22"/>
        <v>0.11632845417100288</v>
      </c>
      <c r="U140" s="127">
        <f t="shared" si="23"/>
        <v>6.5781226515013516E-2</v>
      </c>
      <c r="V140" s="127">
        <f t="shared" si="24"/>
        <v>2.1456817241501995E-2</v>
      </c>
      <c r="W140" s="127">
        <f t="shared" si="25"/>
        <v>-9.2524952120403001E-2</v>
      </c>
      <c r="X140" s="127">
        <f t="shared" si="26"/>
        <v>-5.1159078962102797E-2</v>
      </c>
      <c r="Y140" s="127">
        <f t="shared" si="27"/>
        <v>-5.2934634679482145E-2</v>
      </c>
      <c r="Z140" s="127">
        <f t="shared" si="28"/>
        <v>-1.571723892852038E-2</v>
      </c>
      <c r="AA140" s="127">
        <f t="shared" si="29"/>
        <v>7.5645928237005874E-2</v>
      </c>
      <c r="AB140" s="127">
        <f t="shared" si="30"/>
        <v>5.3896794806777289E-2</v>
      </c>
      <c r="AC140" s="127">
        <f t="shared" si="31"/>
        <v>-2.1470609332005137E-2</v>
      </c>
      <c r="AD140" s="127">
        <f t="shared" si="32"/>
        <v>-8.350289171238813E-2</v>
      </c>
      <c r="AE140" s="127">
        <f t="shared" si="33"/>
        <v>-4.4675906921861222E-3</v>
      </c>
      <c r="AF140" s="127">
        <f t="shared" si="34"/>
        <v>-2.1642145434913083E-2</v>
      </c>
    </row>
    <row r="141" spans="1:32" x14ac:dyDescent="0.3">
      <c r="A141" s="126">
        <v>43678</v>
      </c>
      <c r="B141" s="127">
        <f t="shared" si="4"/>
        <v>-1.0855177502230556E-2</v>
      </c>
      <c r="C141" s="127">
        <f t="shared" si="5"/>
        <v>-3.5091189101934352E-2</v>
      </c>
      <c r="D141" s="127">
        <f t="shared" si="6"/>
        <v>8.7034627812491272E-2</v>
      </c>
      <c r="E141" s="127">
        <f t="shared" si="7"/>
        <v>-3.6302643420849372E-2</v>
      </c>
      <c r="F141" s="127">
        <f t="shared" si="8"/>
        <v>-5.351765493069302E-2</v>
      </c>
      <c r="G141" s="127">
        <f t="shared" si="9"/>
        <v>-9.1660894497280182E-2</v>
      </c>
      <c r="H141" s="127">
        <f t="shared" si="10"/>
        <v>6.5774108883261571E-3</v>
      </c>
      <c r="I141" s="127">
        <f t="shared" si="11"/>
        <v>-9.2812377142460087E-2</v>
      </c>
      <c r="J141" s="127">
        <f t="shared" si="12"/>
        <v>-9.4945655781702179E-2</v>
      </c>
      <c r="K141" s="127">
        <f t="shared" si="13"/>
        <v>-9.229051549124366E-2</v>
      </c>
      <c r="L141" s="127">
        <f t="shared" si="14"/>
        <v>-8.4938007709445623E-2</v>
      </c>
      <c r="M141" s="127">
        <f t="shared" si="15"/>
        <v>-9.08861976948519E-2</v>
      </c>
      <c r="N141" s="127">
        <f t="shared" si="16"/>
        <v>-4.7517980561798602E-2</v>
      </c>
      <c r="O141" s="127">
        <f t="shared" si="17"/>
        <v>-0.11704237244207312</v>
      </c>
      <c r="P141" s="127">
        <f t="shared" si="18"/>
        <v>-7.4278347556977181E-2</v>
      </c>
      <c r="Q141" s="127">
        <f t="shared" si="19"/>
        <v>1.4549327701078777E-2</v>
      </c>
      <c r="R141" s="127">
        <f t="shared" si="20"/>
        <v>4.4113652041864494E-2</v>
      </c>
      <c r="S141" s="127">
        <f t="shared" si="21"/>
        <v>4.7396635306972329E-2</v>
      </c>
      <c r="T141" s="127">
        <f t="shared" si="22"/>
        <v>5.2808003775236645E-2</v>
      </c>
      <c r="U141" s="127">
        <f t="shared" si="23"/>
        <v>7.9652768545149619E-2</v>
      </c>
      <c r="V141" s="127">
        <f t="shared" si="24"/>
        <v>-3.6881312367862157E-2</v>
      </c>
      <c r="W141" s="127">
        <f t="shared" si="25"/>
        <v>-2.6784043239739552E-2</v>
      </c>
      <c r="X141" s="127">
        <f t="shared" si="26"/>
        <v>-6.4798266275001612E-2</v>
      </c>
      <c r="Y141" s="127">
        <f t="shared" si="27"/>
        <v>-4.2404818267554331E-3</v>
      </c>
      <c r="Z141" s="127">
        <f t="shared" si="28"/>
        <v>-0.12413732930824375</v>
      </c>
      <c r="AA141" s="127">
        <f t="shared" si="29"/>
        <v>-0.20828562828283959</v>
      </c>
      <c r="AB141" s="127">
        <f t="shared" si="30"/>
        <v>6.6124994546303606E-2</v>
      </c>
      <c r="AC141" s="127">
        <f t="shared" si="31"/>
        <v>-4.6570116234221151E-3</v>
      </c>
      <c r="AD141" s="127">
        <f t="shared" si="32"/>
        <v>-4.043897523036085E-2</v>
      </c>
      <c r="AE141" s="127">
        <f t="shared" si="33"/>
        <v>-1.4502278697697497E-2</v>
      </c>
      <c r="AF141" s="127">
        <f t="shared" si="34"/>
        <v>-2.5283021693089047E-2</v>
      </c>
    </row>
    <row r="142" spans="1:32" x14ac:dyDescent="0.3">
      <c r="A142" s="126">
        <v>43709</v>
      </c>
      <c r="B142" s="127">
        <f t="shared" si="4"/>
        <v>3.7722047370460218E-4</v>
      </c>
      <c r="C142" s="127">
        <f t="shared" si="5"/>
        <v>6.3449128930095772E-2</v>
      </c>
      <c r="D142" s="127">
        <f t="shared" si="6"/>
        <v>-4.6815095344133958E-3</v>
      </c>
      <c r="E142" s="127">
        <f t="shared" si="7"/>
        <v>-1.4630219072014197E-2</v>
      </c>
      <c r="F142" s="127">
        <f t="shared" si="8"/>
        <v>5.9139167112531608E-2</v>
      </c>
      <c r="G142" s="127">
        <f t="shared" si="9"/>
        <v>7.026709767237059E-2</v>
      </c>
      <c r="H142" s="127">
        <f t="shared" si="10"/>
        <v>1.8222301432113331E-2</v>
      </c>
      <c r="I142" s="127">
        <f t="shared" si="11"/>
        <v>6.6685345459265175E-2</v>
      </c>
      <c r="J142" s="127">
        <f t="shared" si="12"/>
        <v>2.9728994752278491E-2</v>
      </c>
      <c r="K142" s="127">
        <f t="shared" si="13"/>
        <v>6.2412667812079742E-2</v>
      </c>
      <c r="L142" s="127">
        <f t="shared" si="14"/>
        <v>-9.31208108610459E-2</v>
      </c>
      <c r="M142" s="127">
        <f t="shared" si="15"/>
        <v>3.7588620856049887E-2</v>
      </c>
      <c r="N142" s="127">
        <f t="shared" si="16"/>
        <v>4.2604304161555272E-2</v>
      </c>
      <c r="O142" s="127">
        <f t="shared" si="17"/>
        <v>0.21824009604355107</v>
      </c>
      <c r="P142" s="127">
        <f t="shared" si="18"/>
        <v>-3.8325767000278795E-2</v>
      </c>
      <c r="Q142" s="127">
        <f t="shared" si="19"/>
        <v>1.8543601069081858E-2</v>
      </c>
      <c r="R142" s="127">
        <f t="shared" si="20"/>
        <v>5.4019113624542044E-2</v>
      </c>
      <c r="S142" s="127">
        <f t="shared" si="21"/>
        <v>5.9749821276705847E-2</v>
      </c>
      <c r="T142" s="127">
        <f t="shared" si="22"/>
        <v>9.7137774879499247E-2</v>
      </c>
      <c r="U142" s="127">
        <f t="shared" si="23"/>
        <v>-3.0529454512832475E-2</v>
      </c>
      <c r="V142" s="127">
        <f t="shared" si="24"/>
        <v>2.9861533229274352E-2</v>
      </c>
      <c r="W142" s="127">
        <f t="shared" si="25"/>
        <v>8.7516723414365408E-3</v>
      </c>
      <c r="X142" s="127">
        <f t="shared" si="26"/>
        <v>5.5564090792487336E-2</v>
      </c>
      <c r="Y142" s="127">
        <f t="shared" si="27"/>
        <v>6.4974813414394469E-2</v>
      </c>
      <c r="Z142" s="127">
        <f t="shared" si="28"/>
        <v>7.7641253461041809E-2</v>
      </c>
      <c r="AA142" s="127">
        <f t="shared" si="29"/>
        <v>7.4071853147175792E-2</v>
      </c>
      <c r="AB142" s="127">
        <f t="shared" si="30"/>
        <v>6.2382394846465447E-3</v>
      </c>
      <c r="AC142" s="127">
        <f t="shared" si="31"/>
        <v>8.0747452781060089E-2</v>
      </c>
      <c r="AD142" s="127">
        <f t="shared" si="32"/>
        <v>0.14319330781010636</v>
      </c>
      <c r="AE142" s="127">
        <f t="shared" si="33"/>
        <v>4.6766741270929744E-2</v>
      </c>
      <c r="AF142" s="127">
        <f t="shared" si="34"/>
        <v>3.5544984932843922E-2</v>
      </c>
    </row>
    <row r="143" spans="1:32" x14ac:dyDescent="0.3">
      <c r="A143" s="126">
        <v>43739</v>
      </c>
      <c r="B143" s="127">
        <f t="shared" si="4"/>
        <v>2.8564287234389453E-2</v>
      </c>
      <c r="C143" s="127">
        <f t="shared" si="5"/>
        <v>8.7166980109914013E-2</v>
      </c>
      <c r="D143" s="127">
        <f t="shared" si="6"/>
        <v>2.4385556413657035E-2</v>
      </c>
      <c r="E143" s="127">
        <f t="shared" si="7"/>
        <v>8.84435988133071E-2</v>
      </c>
      <c r="F143" s="127">
        <f t="shared" si="8"/>
        <v>1.8475474329821072E-2</v>
      </c>
      <c r="G143" s="127">
        <f t="shared" si="9"/>
        <v>4.391840643503777E-2</v>
      </c>
      <c r="H143" s="127">
        <f t="shared" si="10"/>
        <v>2.8708182403013972E-2</v>
      </c>
      <c r="I143" s="127">
        <f t="shared" si="11"/>
        <v>0.1395234094142313</v>
      </c>
      <c r="J143" s="127">
        <f t="shared" si="12"/>
        <v>3.3956963997092957E-2</v>
      </c>
      <c r="K143" s="127">
        <f t="shared" si="13"/>
        <v>6.394246589831977E-2</v>
      </c>
      <c r="L143" s="127">
        <f t="shared" si="14"/>
        <v>2.1409452968849753E-2</v>
      </c>
      <c r="M143" s="127">
        <f t="shared" si="15"/>
        <v>-5.1159876070232563E-2</v>
      </c>
      <c r="N143" s="127">
        <f t="shared" si="16"/>
        <v>9.7698351176221915E-2</v>
      </c>
      <c r="O143" s="127">
        <f t="shared" si="17"/>
        <v>7.406632143104816E-4</v>
      </c>
      <c r="P143" s="127">
        <f t="shared" si="18"/>
        <v>8.3739474974148895E-2</v>
      </c>
      <c r="Q143" s="127">
        <f t="shared" si="19"/>
        <v>1.5937645639933745E-2</v>
      </c>
      <c r="R143" s="127">
        <f t="shared" si="20"/>
        <v>2.7058164375626977E-2</v>
      </c>
      <c r="S143" s="127">
        <f t="shared" si="21"/>
        <v>-4.1439493089705598E-2</v>
      </c>
      <c r="T143" s="127">
        <f t="shared" si="22"/>
        <v>-5.3345490593052547E-2</v>
      </c>
      <c r="U143" s="127">
        <f t="shared" si="23"/>
        <v>-3.0452402969181024E-2</v>
      </c>
      <c r="V143" s="127">
        <f t="shared" si="24"/>
        <v>-7.1303455223475139E-4</v>
      </c>
      <c r="W143" s="127">
        <f t="shared" si="25"/>
        <v>5.0870409844190154E-2</v>
      </c>
      <c r="X143" s="127">
        <f t="shared" si="26"/>
        <v>1.5980545630868211E-2</v>
      </c>
      <c r="Y143" s="127">
        <f t="shared" si="27"/>
        <v>6.3686579960921197E-2</v>
      </c>
      <c r="Z143" s="127">
        <f t="shared" si="28"/>
        <v>2.6150631354617437E-2</v>
      </c>
      <c r="AA143" s="127">
        <f t="shared" si="29"/>
        <v>-8.5178667975691041E-2</v>
      </c>
      <c r="AB143" s="127">
        <f t="shared" si="30"/>
        <v>-7.2904052088918272E-2</v>
      </c>
      <c r="AC143" s="127">
        <f t="shared" si="31"/>
        <v>4.5117332693806925E-2</v>
      </c>
      <c r="AD143" s="127">
        <f t="shared" si="32"/>
        <v>1.6605597155388695E-2</v>
      </c>
      <c r="AE143" s="127">
        <f t="shared" si="33"/>
        <v>3.7081272022504441E-2</v>
      </c>
      <c r="AF143" s="127">
        <f t="shared" si="34"/>
        <v>3.0111505645216599E-2</v>
      </c>
    </row>
    <row r="144" spans="1:32" x14ac:dyDescent="0.3">
      <c r="A144" s="126">
        <v>43770</v>
      </c>
      <c r="B144" s="127">
        <f t="shared" si="4"/>
        <v>1.7624977533399002E-2</v>
      </c>
      <c r="C144" s="127">
        <f t="shared" si="5"/>
        <v>2.5117345495752591E-2</v>
      </c>
      <c r="D144" s="127">
        <f t="shared" si="6"/>
        <v>0.10706639516234626</v>
      </c>
      <c r="E144" s="127">
        <f t="shared" si="7"/>
        <v>3.0659482861705792E-2</v>
      </c>
      <c r="F144" s="127">
        <f t="shared" si="8"/>
        <v>-1.288419319546184E-2</v>
      </c>
      <c r="G144" s="127">
        <f t="shared" si="9"/>
        <v>0.11789972605687128</v>
      </c>
      <c r="H144" s="127">
        <f t="shared" si="10"/>
        <v>5.719892884585559E-2</v>
      </c>
      <c r="I144" s="127">
        <f t="shared" si="11"/>
        <v>-2.25856673122143E-2</v>
      </c>
      <c r="J144" s="127">
        <f t="shared" si="12"/>
        <v>9.2040451509198373E-2</v>
      </c>
      <c r="K144" s="127">
        <f t="shared" si="13"/>
        <v>6.6773176749338026E-2</v>
      </c>
      <c r="L144" s="127">
        <f t="shared" si="14"/>
        <v>1.3580998516449609E-2</v>
      </c>
      <c r="M144" s="127">
        <f t="shared" si="15"/>
        <v>1.2188375585162718E-3</v>
      </c>
      <c r="N144" s="127">
        <f t="shared" si="16"/>
        <v>1.5096471706074175E-2</v>
      </c>
      <c r="O144" s="127">
        <f t="shared" si="17"/>
        <v>5.2301460464250715E-2</v>
      </c>
      <c r="P144" s="127">
        <f t="shared" si="18"/>
        <v>-5.2794310527823698E-3</v>
      </c>
      <c r="Q144" s="127">
        <f t="shared" si="19"/>
        <v>-1.7518533037237195E-2</v>
      </c>
      <c r="R144" s="127">
        <f t="shared" si="20"/>
        <v>-1.5169091446527855E-2</v>
      </c>
      <c r="S144" s="127">
        <f t="shared" si="21"/>
        <v>-7.7589984938173772E-3</v>
      </c>
      <c r="T144" s="127">
        <f t="shared" si="22"/>
        <v>-2.0268895740917763E-2</v>
      </c>
      <c r="U144" s="127">
        <f t="shared" si="23"/>
        <v>1.4549177052391346E-2</v>
      </c>
      <c r="V144" s="127">
        <f t="shared" si="24"/>
        <v>4.2474838964705768E-2</v>
      </c>
      <c r="W144" s="127">
        <f t="shared" si="25"/>
        <v>2.6179317654170683E-2</v>
      </c>
      <c r="X144" s="127">
        <f t="shared" si="26"/>
        <v>5.2249942021111315E-2</v>
      </c>
      <c r="Y144" s="127">
        <f t="shared" si="27"/>
        <v>1.4119830381086372E-3</v>
      </c>
      <c r="Z144" s="127">
        <f t="shared" si="28"/>
        <v>-2.9363527124513945E-3</v>
      </c>
      <c r="AA144" s="127">
        <f t="shared" si="29"/>
        <v>-2.8439697749540374E-2</v>
      </c>
      <c r="AB144" s="127">
        <f t="shared" si="30"/>
        <v>-1.0552775505716334E-2</v>
      </c>
      <c r="AC144" s="127">
        <f t="shared" si="31"/>
        <v>3.6802689755459403E-2</v>
      </c>
      <c r="AD144" s="127">
        <f t="shared" si="32"/>
        <v>-0.10803823079620675</v>
      </c>
      <c r="AE144" s="127">
        <f t="shared" si="33"/>
        <v>4.2423402075230279E-2</v>
      </c>
      <c r="AF144" s="127">
        <f t="shared" si="34"/>
        <v>2.3739886962127494E-2</v>
      </c>
    </row>
    <row r="145" spans="1:32" x14ac:dyDescent="0.3">
      <c r="A145" s="126">
        <v>43800</v>
      </c>
      <c r="B145" s="127">
        <f t="shared" si="4"/>
        <v>-4.3272420312741755E-2</v>
      </c>
      <c r="C145" s="127">
        <f t="shared" si="5"/>
        <v>1.8215251942087732E-3</v>
      </c>
      <c r="D145" s="127">
        <f t="shared" si="6"/>
        <v>7.108499592950554E-2</v>
      </c>
      <c r="E145" s="127">
        <f t="shared" si="7"/>
        <v>-3.3902649276137245E-2</v>
      </c>
      <c r="F145" s="127">
        <f t="shared" si="8"/>
        <v>-5.0213437781312237E-4</v>
      </c>
      <c r="G145" s="127">
        <f t="shared" si="9"/>
        <v>-1.1866157410689374E-2</v>
      </c>
      <c r="H145" s="127">
        <f t="shared" si="10"/>
        <v>-1.5408162723850108E-3</v>
      </c>
      <c r="I145" s="127">
        <f t="shared" si="11"/>
        <v>-3.5624366318292341E-2</v>
      </c>
      <c r="J145" s="127">
        <f t="shared" si="12"/>
        <v>2.8959008429616448E-2</v>
      </c>
      <c r="K145" s="127">
        <f t="shared" si="13"/>
        <v>-7.7879271653948784E-5</v>
      </c>
      <c r="L145" s="127">
        <f t="shared" si="14"/>
        <v>4.6661559584749712E-3</v>
      </c>
      <c r="M145" s="127">
        <f t="shared" si="15"/>
        <v>4.7594807216149553E-3</v>
      </c>
      <c r="N145" s="127">
        <f t="shared" si="16"/>
        <v>-1.0694956777206714E-2</v>
      </c>
      <c r="O145" s="127">
        <f t="shared" si="17"/>
        <v>1.1989680661742212E-2</v>
      </c>
      <c r="P145" s="127">
        <f t="shared" si="18"/>
        <v>-0.10359006927029558</v>
      </c>
      <c r="Q145" s="127">
        <f t="shared" si="19"/>
        <v>6.2257840871005367E-3</v>
      </c>
      <c r="R145" s="127">
        <f t="shared" si="20"/>
        <v>-1.2865321389464567E-2</v>
      </c>
      <c r="S145" s="127">
        <f t="shared" si="21"/>
        <v>-3.4733223092942717E-3</v>
      </c>
      <c r="T145" s="127">
        <f t="shared" si="22"/>
        <v>1.1436703589420154E-2</v>
      </c>
      <c r="U145" s="127">
        <f t="shared" si="23"/>
        <v>2.2528757855276596E-2</v>
      </c>
      <c r="V145" s="127">
        <f t="shared" si="24"/>
        <v>1.9437540441549099E-2</v>
      </c>
      <c r="W145" s="127">
        <f t="shared" si="25"/>
        <v>-8.4403678731803274E-3</v>
      </c>
      <c r="X145" s="127">
        <f t="shared" si="26"/>
        <v>4.7203680154799393E-3</v>
      </c>
      <c r="Y145" s="127">
        <f t="shared" si="27"/>
        <v>-1.1276317259185435E-2</v>
      </c>
      <c r="Z145" s="127">
        <f t="shared" si="28"/>
        <v>-2.0767637382718706E-2</v>
      </c>
      <c r="AA145" s="127">
        <f t="shared" si="29"/>
        <v>0.22100531638879484</v>
      </c>
      <c r="AB145" s="127">
        <f t="shared" si="30"/>
        <v>-1.9413759380825884E-2</v>
      </c>
      <c r="AC145" s="127">
        <f t="shared" si="31"/>
        <v>6.1507921171550942E-3</v>
      </c>
      <c r="AD145" s="127">
        <f t="shared" si="32"/>
        <v>6.5926522613669936E-2</v>
      </c>
      <c r="AE145" s="127">
        <f t="shared" si="33"/>
        <v>1.7101258984363186E-2</v>
      </c>
      <c r="AF145" s="127">
        <f t="shared" si="34"/>
        <v>-3.6259055836372297E-3</v>
      </c>
    </row>
    <row r="146" spans="1:32" x14ac:dyDescent="0.3">
      <c r="A146" s="126">
        <v>43831</v>
      </c>
      <c r="B146" s="127">
        <f t="shared" si="4"/>
        <v>-4.9978855014882377E-3</v>
      </c>
      <c r="C146" s="127">
        <f t="shared" si="5"/>
        <v>-8.440753606165316E-2</v>
      </c>
      <c r="D146" s="127">
        <f t="shared" si="6"/>
        <v>4.7405277450240015E-2</v>
      </c>
      <c r="E146" s="127">
        <f t="shared" si="7"/>
        <v>-2.8975133951696794E-2</v>
      </c>
      <c r="F146" s="127">
        <f t="shared" si="8"/>
        <v>-1.7065942683025574E-2</v>
      </c>
      <c r="G146" s="127">
        <f t="shared" si="9"/>
        <v>-4.9910636114719902E-2</v>
      </c>
      <c r="H146" s="127">
        <f t="shared" si="10"/>
        <v>-8.0682470745074494E-2</v>
      </c>
      <c r="I146" s="127">
        <f t="shared" si="11"/>
        <v>-0.16543519344589935</v>
      </c>
      <c r="J146" s="127">
        <f t="shared" si="12"/>
        <v>-5.4001636398045283E-2</v>
      </c>
      <c r="K146" s="127">
        <f t="shared" si="13"/>
        <v>-0.12608657401063822</v>
      </c>
      <c r="L146" s="127">
        <f t="shared" si="14"/>
        <v>8.4071405846240677E-2</v>
      </c>
      <c r="M146" s="127">
        <f t="shared" si="15"/>
        <v>-3.3767198559552312E-2</v>
      </c>
      <c r="N146" s="127">
        <f t="shared" si="16"/>
        <v>-8.8763051847545876E-2</v>
      </c>
      <c r="O146" s="127">
        <f t="shared" si="17"/>
        <v>-1.9369102981342819E-2</v>
      </c>
      <c r="P146" s="127">
        <f t="shared" si="18"/>
        <v>-0.14432290165183237</v>
      </c>
      <c r="Q146" s="127">
        <f t="shared" si="19"/>
        <v>6.248082415132214E-2</v>
      </c>
      <c r="R146" s="127">
        <f t="shared" si="20"/>
        <v>8.8725242567912643E-2</v>
      </c>
      <c r="S146" s="127">
        <f t="shared" si="21"/>
        <v>3.8143666276508573E-2</v>
      </c>
      <c r="T146" s="127">
        <f t="shared" si="22"/>
        <v>0.13139684752012878</v>
      </c>
      <c r="U146" s="127">
        <f t="shared" si="23"/>
        <v>6.2653230682541208E-2</v>
      </c>
      <c r="V146" s="127">
        <f t="shared" si="24"/>
        <v>4.0160160433291424E-2</v>
      </c>
      <c r="W146" s="127">
        <f t="shared" si="25"/>
        <v>5.5766751023455116E-2</v>
      </c>
      <c r="X146" s="127">
        <f t="shared" si="26"/>
        <v>7.5524088626789207E-2</v>
      </c>
      <c r="Y146" s="127">
        <f t="shared" si="27"/>
        <v>-9.6323598746388239E-2</v>
      </c>
      <c r="Z146" s="127">
        <f t="shared" si="28"/>
        <v>-0.10524574861152597</v>
      </c>
      <c r="AA146" s="127">
        <f t="shared" si="29"/>
        <v>-0.1352972777622985</v>
      </c>
      <c r="AB146" s="127">
        <f t="shared" si="30"/>
        <v>3.5953978520344397E-2</v>
      </c>
      <c r="AC146" s="127">
        <f t="shared" si="31"/>
        <v>6.6963550976019666E-3</v>
      </c>
      <c r="AD146" s="127">
        <f t="shared" si="32"/>
        <v>-6.5453315368385626E-2</v>
      </c>
      <c r="AE146" s="127">
        <f t="shared" si="33"/>
        <v>1.6223972696909051E-2</v>
      </c>
      <c r="AF146" s="127">
        <f t="shared" si="34"/>
        <v>-2.494099995914064E-2</v>
      </c>
    </row>
    <row r="147" spans="1:32" x14ac:dyDescent="0.3">
      <c r="A147" s="126">
        <v>43862</v>
      </c>
      <c r="B147" s="127">
        <f t="shared" si="4"/>
        <v>-8.2018880387189477E-2</v>
      </c>
      <c r="C147" s="127">
        <f t="shared" si="5"/>
        <v>-9.1315834712505914E-2</v>
      </c>
      <c r="D147" s="127">
        <f t="shared" si="6"/>
        <v>-0.33679343144876261</v>
      </c>
      <c r="E147" s="127">
        <f t="shared" si="7"/>
        <v>-6.2573783177961279E-2</v>
      </c>
      <c r="F147" s="127">
        <f t="shared" si="8"/>
        <v>-0.1079317516068137</v>
      </c>
      <c r="G147" s="127">
        <f t="shared" si="9"/>
        <v>-0.18742374075192914</v>
      </c>
      <c r="H147" s="127">
        <f t="shared" si="10"/>
        <v>-0.15880442630876757</v>
      </c>
      <c r="I147" s="127">
        <f t="shared" si="11"/>
        <v>-0.1069563007537126</v>
      </c>
      <c r="J147" s="127">
        <f t="shared" si="12"/>
        <v>-5.8580721585106535E-2</v>
      </c>
      <c r="K147" s="127">
        <f t="shared" si="13"/>
        <v>-8.5723906061341684E-2</v>
      </c>
      <c r="L147" s="127">
        <f t="shared" si="14"/>
        <v>1.4729879916081587E-3</v>
      </c>
      <c r="M147" s="127">
        <f t="shared" si="15"/>
        <v>-0.15150219825877065</v>
      </c>
      <c r="N147" s="127">
        <f t="shared" si="16"/>
        <v>-8.5451454668147242E-2</v>
      </c>
      <c r="O147" s="127">
        <f t="shared" si="17"/>
        <v>-0.11967369957082155</v>
      </c>
      <c r="P147" s="127">
        <f t="shared" si="18"/>
        <v>-0.19585370371010763</v>
      </c>
      <c r="Q147" s="127">
        <f t="shared" si="19"/>
        <v>-6.782265181519849E-2</v>
      </c>
      <c r="R147" s="127">
        <f t="shared" si="20"/>
        <v>-6.763562522566352E-2</v>
      </c>
      <c r="S147" s="127">
        <f t="shared" si="21"/>
        <v>-4.4509277812505306E-2</v>
      </c>
      <c r="T147" s="127">
        <f t="shared" si="22"/>
        <v>-1.0541876465082905E-2</v>
      </c>
      <c r="U147" s="127">
        <f t="shared" si="23"/>
        <v>-0.23002256163492205</v>
      </c>
      <c r="V147" s="127">
        <f t="shared" si="24"/>
        <v>-5.4177027241788786E-2</v>
      </c>
      <c r="W147" s="127">
        <f t="shared" si="25"/>
        <v>-4.8519219706981819E-3</v>
      </c>
      <c r="X147" s="127">
        <f t="shared" si="26"/>
        <v>2.1001967220020623E-2</v>
      </c>
      <c r="Y147" s="127">
        <f t="shared" si="27"/>
        <v>-0.13866198089609535</v>
      </c>
      <c r="Z147" s="127">
        <f t="shared" si="28"/>
        <v>-5.1075248866366153E-3</v>
      </c>
      <c r="AA147" s="127">
        <f t="shared" si="29"/>
        <v>-7.6975445704628179E-2</v>
      </c>
      <c r="AB147" s="127">
        <f t="shared" si="30"/>
        <v>-6.6816194469414614E-2</v>
      </c>
      <c r="AC147" s="127">
        <f t="shared" si="31"/>
        <v>-0.14383621951080997</v>
      </c>
      <c r="AD147" s="127">
        <f t="shared" si="32"/>
        <v>-0.24035907598939152</v>
      </c>
      <c r="AE147" s="127">
        <f t="shared" si="33"/>
        <v>-0.11801682330976483</v>
      </c>
      <c r="AF147" s="127">
        <f t="shared" si="34"/>
        <v>-9.2413963961992127E-2</v>
      </c>
    </row>
    <row r="148" spans="1:32" x14ac:dyDescent="0.3">
      <c r="A148" s="126">
        <v>43891</v>
      </c>
      <c r="B148" s="127">
        <f t="shared" si="4"/>
        <v>-0.1309802856432164</v>
      </c>
      <c r="C148" s="127">
        <f t="shared" si="5"/>
        <v>-0.33229124648376579</v>
      </c>
      <c r="D148" s="127">
        <f t="shared" si="6"/>
        <v>-0.17307474175908349</v>
      </c>
      <c r="E148" s="127">
        <f t="shared" si="7"/>
        <v>-8.9755519581931814E-2</v>
      </c>
      <c r="F148" s="127">
        <f t="shared" si="8"/>
        <v>-0.22181363013410604</v>
      </c>
      <c r="G148" s="127">
        <f t="shared" si="9"/>
        <v>-0.19177676775092389</v>
      </c>
      <c r="H148" s="127">
        <f t="shared" si="10"/>
        <v>-9.6786467424664818E-2</v>
      </c>
      <c r="I148" s="127">
        <f t="shared" si="11"/>
        <v>-0.30972180463682147</v>
      </c>
      <c r="J148" s="127">
        <f t="shared" si="12"/>
        <v>-0.35323070079834396</v>
      </c>
      <c r="K148" s="127">
        <f t="shared" si="13"/>
        <v>-0.22154544260677403</v>
      </c>
      <c r="L148" s="127">
        <f t="shared" si="14"/>
        <v>3.7726736568949072E-2</v>
      </c>
      <c r="M148" s="127">
        <f t="shared" si="15"/>
        <v>-0.21613632154072715</v>
      </c>
      <c r="N148" s="127">
        <f t="shared" si="16"/>
        <v>-0.37764093211274191</v>
      </c>
      <c r="O148" s="127">
        <f t="shared" si="17"/>
        <v>-0.10565968430174151</v>
      </c>
      <c r="P148" s="127">
        <f t="shared" si="18"/>
        <v>-0.1473707576293285</v>
      </c>
      <c r="Q148" s="127">
        <f t="shared" si="19"/>
        <v>-8.8341764646970092E-2</v>
      </c>
      <c r="R148" s="127">
        <f t="shared" si="20"/>
        <v>-0.15927682430330892</v>
      </c>
      <c r="S148" s="127">
        <f t="shared" si="21"/>
        <v>-0.13778109211059414</v>
      </c>
      <c r="T148" s="127">
        <f t="shared" si="22"/>
        <v>-0.26753130829505456</v>
      </c>
      <c r="U148" s="127">
        <f t="shared" si="23"/>
        <v>-0.51606704168055006</v>
      </c>
      <c r="V148" s="127">
        <f t="shared" si="24"/>
        <v>-5.6745220256598256E-2</v>
      </c>
      <c r="W148" s="127">
        <f t="shared" si="25"/>
        <v>-0.14044618158425495</v>
      </c>
      <c r="X148" s="127">
        <f t="shared" si="26"/>
        <v>-9.7112971036570475E-2</v>
      </c>
      <c r="Y148" s="127">
        <f t="shared" si="27"/>
        <v>-0.20555923505962861</v>
      </c>
      <c r="Z148" s="127">
        <f t="shared" si="28"/>
        <v>-0.42971383963641369</v>
      </c>
      <c r="AA148" s="127">
        <f t="shared" si="29"/>
        <v>-0.76528403274135182</v>
      </c>
      <c r="AB148" s="127">
        <f t="shared" si="30"/>
        <v>-0.26224746646309482</v>
      </c>
      <c r="AC148" s="127">
        <f t="shared" si="31"/>
        <v>-0.2330515939384688</v>
      </c>
      <c r="AD148" s="127">
        <f t="shared" si="32"/>
        <v>-0.59142720932910831</v>
      </c>
      <c r="AE148" s="127">
        <f t="shared" si="33"/>
        <v>-0.26561085410567492</v>
      </c>
      <c r="AF148" s="127">
        <f t="shared" si="34"/>
        <v>-0.18415836378491734</v>
      </c>
    </row>
    <row r="149" spans="1:32" x14ac:dyDescent="0.3">
      <c r="A149" s="126">
        <v>43922</v>
      </c>
      <c r="B149" s="127">
        <f t="shared" si="4"/>
        <v>5.5156715437837664E-2</v>
      </c>
      <c r="C149" s="127">
        <f t="shared" si="5"/>
        <v>0.17991504931548524</v>
      </c>
      <c r="D149" s="127">
        <f t="shared" si="6"/>
        <v>-4.3144070864003098E-2</v>
      </c>
      <c r="E149" s="127">
        <f t="shared" si="7"/>
        <v>5.003360909075534E-2</v>
      </c>
      <c r="F149" s="127">
        <f t="shared" si="8"/>
        <v>6.8385800838212274E-2</v>
      </c>
      <c r="G149" s="127">
        <f t="shared" si="9"/>
        <v>8.2061322244702042E-2</v>
      </c>
      <c r="H149" s="127">
        <f t="shared" si="10"/>
        <v>8.4788289625481628E-2</v>
      </c>
      <c r="I149" s="127">
        <f t="shared" si="11"/>
        <v>0.13711578192614787</v>
      </c>
      <c r="J149" s="127">
        <f t="shared" si="12"/>
        <v>0.21537992538319678</v>
      </c>
      <c r="K149" s="127">
        <f t="shared" si="13"/>
        <v>0.13931932164160277</v>
      </c>
      <c r="L149" s="127">
        <f t="shared" si="14"/>
        <v>0.13706871084141428</v>
      </c>
      <c r="M149" s="127">
        <f t="shared" si="15"/>
        <v>-3.968316011713359E-3</v>
      </c>
      <c r="N149" s="127">
        <f t="shared" si="16"/>
        <v>0.1713463167924095</v>
      </c>
      <c r="O149" s="127">
        <f t="shared" si="17"/>
        <v>4.9030952342091288E-2</v>
      </c>
      <c r="P149" s="127">
        <f t="shared" si="18"/>
        <v>0.21702312590014561</v>
      </c>
      <c r="Q149" s="127">
        <f t="shared" si="19"/>
        <v>-4.4499152027211997E-3</v>
      </c>
      <c r="R149" s="127">
        <f t="shared" si="20"/>
        <v>0.11842364222041749</v>
      </c>
      <c r="S149" s="127">
        <f t="shared" si="21"/>
        <v>0.11583548419286206</v>
      </c>
      <c r="T149" s="127">
        <f t="shared" si="22"/>
        <v>8.6117330288883895E-2</v>
      </c>
      <c r="U149" s="127">
        <f t="shared" si="23"/>
        <v>-8.2519231157240538E-2</v>
      </c>
      <c r="V149" s="127">
        <f t="shared" si="24"/>
        <v>5.6332801890753285E-2</v>
      </c>
      <c r="W149" s="127">
        <f t="shared" si="25"/>
        <v>0.17487529051040715</v>
      </c>
      <c r="X149" s="127">
        <f t="shared" si="26"/>
        <v>-2.858478305127796E-2</v>
      </c>
      <c r="Y149" s="127">
        <f t="shared" si="27"/>
        <v>8.0406148328349955E-2</v>
      </c>
      <c r="Z149" s="127">
        <f t="shared" si="28"/>
        <v>0.17046973684633038</v>
      </c>
      <c r="AA149" s="127">
        <f t="shared" si="29"/>
        <v>0.16525286147911178</v>
      </c>
      <c r="AB149" s="127">
        <f t="shared" si="30"/>
        <v>3.1720898989954109E-2</v>
      </c>
      <c r="AC149" s="127">
        <f t="shared" si="31"/>
        <v>9.2372715427164909E-2</v>
      </c>
      <c r="AD149" s="127">
        <f t="shared" si="32"/>
        <v>0.25220790250900588</v>
      </c>
      <c r="AE149" s="127">
        <f t="shared" si="33"/>
        <v>4.7060035969677304E-2</v>
      </c>
      <c r="AF149" s="127">
        <f t="shared" si="34"/>
        <v>8.4509254977852388E-2</v>
      </c>
    </row>
    <row r="150" spans="1:32" x14ac:dyDescent="0.3">
      <c r="A150" s="126">
        <v>43952</v>
      </c>
      <c r="B150" s="127">
        <f t="shared" si="4"/>
        <v>1.4245267121351556E-2</v>
      </c>
      <c r="C150" s="127">
        <f t="shared" si="5"/>
        <v>3.033500586529999E-2</v>
      </c>
      <c r="D150" s="127">
        <f t="shared" si="6"/>
        <v>2.5521685366231069E-2</v>
      </c>
      <c r="E150" s="127">
        <f t="shared" si="7"/>
        <v>3.3027255122220565E-2</v>
      </c>
      <c r="F150" s="127">
        <f t="shared" si="8"/>
        <v>-4.1864528207995563E-2</v>
      </c>
      <c r="G150" s="127">
        <f t="shared" si="9"/>
        <v>0.14448598900583762</v>
      </c>
      <c r="H150" s="127">
        <f t="shared" si="10"/>
        <v>2.3561042303924407E-2</v>
      </c>
      <c r="I150" s="127">
        <f t="shared" si="11"/>
        <v>5.7472550155195118E-2</v>
      </c>
      <c r="J150" s="127">
        <f t="shared" si="12"/>
        <v>8.9378545470735926E-2</v>
      </c>
      <c r="K150" s="127">
        <f t="shared" si="13"/>
        <v>-2.5086107441836369E-2</v>
      </c>
      <c r="L150" s="127">
        <f t="shared" si="14"/>
        <v>4.7361427223708348E-2</v>
      </c>
      <c r="M150" s="127">
        <f t="shared" si="15"/>
        <v>0.10574450076406516</v>
      </c>
      <c r="N150" s="127">
        <f t="shared" si="16"/>
        <v>5.8064146270468506E-2</v>
      </c>
      <c r="O150" s="127">
        <f t="shared" si="17"/>
        <v>-6.6873848302519773E-2</v>
      </c>
      <c r="P150" s="127">
        <f t="shared" si="18"/>
        <v>1.7601648114541193E-2</v>
      </c>
      <c r="Q150" s="127">
        <f t="shared" si="19"/>
        <v>0.13055462010403873</v>
      </c>
      <c r="R150" s="127">
        <f t="shared" si="20"/>
        <v>-3.491217363027195E-2</v>
      </c>
      <c r="S150" s="127">
        <f t="shared" si="21"/>
        <v>3.255570599619461E-2</v>
      </c>
      <c r="T150" s="127">
        <f t="shared" si="22"/>
        <v>0.12210594210954695</v>
      </c>
      <c r="U150" s="127">
        <f t="shared" si="23"/>
        <v>0.14110587176408862</v>
      </c>
      <c r="V150" s="127">
        <f t="shared" si="24"/>
        <v>7.5889190820505381E-2</v>
      </c>
      <c r="W150" s="127">
        <f t="shared" si="25"/>
        <v>5.4138502257054265E-2</v>
      </c>
      <c r="X150" s="127">
        <f t="shared" si="26"/>
        <v>4.1207315088570215E-2</v>
      </c>
      <c r="Y150" s="127">
        <f t="shared" si="27"/>
        <v>4.2680356524109661E-2</v>
      </c>
      <c r="Z150" s="127">
        <f t="shared" si="28"/>
        <v>0.14372330213090101</v>
      </c>
      <c r="AA150" s="127">
        <f t="shared" si="29"/>
        <v>0.13621060505842508</v>
      </c>
      <c r="AB150" s="127">
        <f t="shared" si="30"/>
        <v>9.0385067427124433E-2</v>
      </c>
      <c r="AC150" s="127">
        <f t="shared" si="31"/>
        <v>-1.7252219433720613E-3</v>
      </c>
      <c r="AD150" s="127">
        <f t="shared" si="32"/>
        <v>6.2546155343272463E-3</v>
      </c>
      <c r="AE150" s="127">
        <f t="shared" si="33"/>
        <v>-3.3218978757141152E-2</v>
      </c>
      <c r="AF150" s="127">
        <f t="shared" si="34"/>
        <v>6.0053879376781333E-2</v>
      </c>
    </row>
    <row r="151" spans="1:32" x14ac:dyDescent="0.3">
      <c r="A151" s="126">
        <v>43983</v>
      </c>
      <c r="B151" s="127">
        <f t="shared" si="4"/>
        <v>2.9702027623425591E-2</v>
      </c>
      <c r="C151" s="127">
        <f t="shared" si="5"/>
        <v>1.5747488771136652E-2</v>
      </c>
      <c r="D151" s="127">
        <f t="shared" si="6"/>
        <v>4.3442413069320479E-3</v>
      </c>
      <c r="E151" s="127">
        <f t="shared" si="7"/>
        <v>8.3077739854171481E-2</v>
      </c>
      <c r="F151" s="127">
        <f t="shared" si="8"/>
        <v>0.10472041857319273</v>
      </c>
      <c r="G151" s="127">
        <f t="shared" si="9"/>
        <v>5.4424048812321352E-2</v>
      </c>
      <c r="H151" s="127">
        <f t="shared" si="10"/>
        <v>0.14473551886377661</v>
      </c>
      <c r="I151" s="127">
        <f t="shared" si="11"/>
        <v>8.0492243827482865E-2</v>
      </c>
      <c r="J151" s="127">
        <f t="shared" si="12"/>
        <v>8.435158790101023E-2</v>
      </c>
      <c r="K151" s="127">
        <f t="shared" si="13"/>
        <v>7.9279573582094254E-2</v>
      </c>
      <c r="L151" s="127">
        <f t="shared" si="14"/>
        <v>-0.12915482530578462</v>
      </c>
      <c r="M151" s="127">
        <f t="shared" si="15"/>
        <v>-3.5161850338235677E-2</v>
      </c>
      <c r="N151" s="127">
        <f t="shared" si="16"/>
        <v>4.2351731707728893E-2</v>
      </c>
      <c r="O151" s="127">
        <f t="shared" si="17"/>
        <v>0.11861868818446758</v>
      </c>
      <c r="P151" s="127">
        <f t="shared" si="18"/>
        <v>4.3447829139676805E-2</v>
      </c>
      <c r="Q151" s="127">
        <f t="shared" si="19"/>
        <v>4.3987170791794969E-2</v>
      </c>
      <c r="R151" s="127">
        <f t="shared" si="20"/>
        <v>-5.26123091926348E-3</v>
      </c>
      <c r="S151" s="127">
        <f t="shared" si="21"/>
        <v>7.526278494775554E-2</v>
      </c>
      <c r="T151" s="127">
        <f t="shared" si="22"/>
        <v>3.8574683644599018E-2</v>
      </c>
      <c r="U151" s="127">
        <f t="shared" si="23"/>
        <v>4.9642325959639959E-2</v>
      </c>
      <c r="V151" s="127">
        <f t="shared" si="24"/>
        <v>-1.429299301199834E-2</v>
      </c>
      <c r="W151" s="127">
        <f t="shared" si="25"/>
        <v>9.8315860532988842E-3</v>
      </c>
      <c r="X151" s="127">
        <f t="shared" si="26"/>
        <v>5.4856536918120966E-2</v>
      </c>
      <c r="Y151" s="127">
        <f t="shared" si="27"/>
        <v>2.6526869054762918E-2</v>
      </c>
      <c r="Z151" s="127">
        <f t="shared" si="28"/>
        <v>-6.7804427404404965E-3</v>
      </c>
      <c r="AA151" s="127">
        <f t="shared" si="29"/>
        <v>0.16113068354942678</v>
      </c>
      <c r="AB151" s="127">
        <f t="shared" si="30"/>
        <v>4.8192006986255385E-2</v>
      </c>
      <c r="AC151" s="127">
        <f t="shared" si="31"/>
        <v>0.10920310458566794</v>
      </c>
      <c r="AD151" s="127">
        <f t="shared" si="32"/>
        <v>4.9975387903078705E-2</v>
      </c>
      <c r="AE151" s="127">
        <f t="shared" si="33"/>
        <v>4.0564208773342172E-2</v>
      </c>
      <c r="AF151" s="127">
        <f t="shared" si="34"/>
        <v>5.6037012272608315E-2</v>
      </c>
    </row>
    <row r="152" spans="1:32" x14ac:dyDescent="0.3">
      <c r="A152" s="126">
        <v>44013</v>
      </c>
      <c r="B152" s="127">
        <f t="shared" ref="B152:B160" si="35">B70-$B$80</f>
        <v>-5.7936441902862222E-3</v>
      </c>
      <c r="C152" s="127">
        <f t="shared" ref="C152:C160" si="36">C70-$C$80</f>
        <v>-7.9016598898843979E-2</v>
      </c>
      <c r="D152" s="127">
        <f t="shared" ref="D152:D160" si="37">D70-$D$80</f>
        <v>8.6315768792440239E-2</v>
      </c>
      <c r="E152" s="127">
        <f t="shared" ref="E152:E160" si="38">E70-$E$80</f>
        <v>6.5359463227216349E-2</v>
      </c>
      <c r="F152" s="127">
        <f t="shared" ref="F152:F160" si="39">F70-$F$80</f>
        <v>-3.6275341907964859E-2</v>
      </c>
      <c r="G152" s="127">
        <f t="shared" ref="G152:G160" si="40">G70-$G$80</f>
        <v>2.6496131564341101E-2</v>
      </c>
      <c r="H152" s="127">
        <f t="shared" ref="H152:H160" si="41">H70-$H$80</f>
        <v>4.4649243687929108E-2</v>
      </c>
      <c r="I152" s="127">
        <f t="shared" ref="I152:I160" si="42">I70-$I$80</f>
        <v>3.4765969272111029E-2</v>
      </c>
      <c r="J152" s="127">
        <f t="shared" ref="J152:J160" si="43">J70-$J$80</f>
        <v>-5.4948292945889605E-3</v>
      </c>
      <c r="K152" s="127">
        <f t="shared" ref="K152:K160" si="44">K70-$K$80</f>
        <v>-3.5917350098389637E-2</v>
      </c>
      <c r="L152" s="127">
        <f t="shared" ref="L152:L160" si="45">L70-$L$80</f>
        <v>0.15949071628973313</v>
      </c>
      <c r="M152" s="127">
        <f t="shared" ref="M152:M160" si="46">M70-$M$80</f>
        <v>-1.8585011532676013E-2</v>
      </c>
      <c r="N152" s="127">
        <f t="shared" ref="N152:N160" si="47">N70-$N$80</f>
        <v>-6.4508091872717693E-2</v>
      </c>
      <c r="O152" s="127">
        <f t="shared" ref="O152:O160" si="48">O70-$O$80</f>
        <v>-8.9009069134823787E-2</v>
      </c>
      <c r="P152" s="127">
        <f t="shared" ref="P152:P160" si="49">P70-$P$80</f>
        <v>-3.5957107920361719E-2</v>
      </c>
      <c r="Q152" s="127">
        <f t="shared" ref="Q152:Q160" si="50">Q70-$Q$80</f>
        <v>2.2566833439417282E-3</v>
      </c>
      <c r="R152" s="127">
        <f t="shared" ref="R152:R160" si="51">R70-$R$80</f>
        <v>3.8242339299706656E-2</v>
      </c>
      <c r="S152" s="127">
        <f t="shared" ref="S152:S160" si="52">S70-$S$80</f>
        <v>-5.0789460736584545E-2</v>
      </c>
      <c r="T152" s="127">
        <f t="shared" ref="T152:T160" si="53">T70-$T$80</f>
        <v>2.2799535956506925E-2</v>
      </c>
      <c r="U152" s="127">
        <f t="shared" ref="U152:U160" si="54">U70-$U$80</f>
        <v>-6.0754475733413027E-2</v>
      </c>
      <c r="V152" s="127">
        <f t="shared" ref="V152:V160" si="55">V70-$V$80</f>
        <v>2.3252303263420947E-2</v>
      </c>
      <c r="W152" s="127">
        <f t="shared" ref="W152:W160" si="56">W70-$W$80</f>
        <v>-2.1649439549024586E-2</v>
      </c>
      <c r="X152" s="127">
        <f t="shared" ref="X152:X160" si="57">X70-$X$80</f>
        <v>-5.3987571695347895E-3</v>
      </c>
      <c r="Y152" s="127">
        <f t="shared" ref="Y152:Y160" si="58">Y70-$Y$80</f>
        <v>-6.196470862491528E-2</v>
      </c>
      <c r="Z152" s="127">
        <f t="shared" ref="Z152:Z160" si="59">Z70-$Z$80</f>
        <v>-4.6421805170780546E-2</v>
      </c>
      <c r="AA152" s="127">
        <f t="shared" ref="AA152:AA160" si="60">AA70-$AA$80</f>
        <v>-5.5102676524302324E-3</v>
      </c>
      <c r="AB152" s="127">
        <f t="shared" ref="AB152:AB160" si="61">AB70-$AB$80</f>
        <v>-6.5877601701887667E-2</v>
      </c>
      <c r="AC152" s="127">
        <f t="shared" ref="AC152:AC160" si="62">AC70-$AC$80</f>
        <v>-1.674193854148685E-2</v>
      </c>
      <c r="AD152" s="127">
        <f t="shared" ref="AD152:AD160" si="63">AD70-$AD$80</f>
        <v>4.9927667374577406E-2</v>
      </c>
      <c r="AE152" s="127">
        <f t="shared" ref="AE152:AE160" si="64">AE70-$AE$80</f>
        <v>-7.0821543493265707E-2</v>
      </c>
      <c r="AF152" s="127">
        <f t="shared" ref="AF152:AF160" si="65">AF70-$AF$80</f>
        <v>-4.3822729188090813E-3</v>
      </c>
    </row>
    <row r="153" spans="1:32" x14ac:dyDescent="0.3">
      <c r="A153" s="126">
        <v>44044</v>
      </c>
      <c r="B153" s="127">
        <f t="shared" si="35"/>
        <v>2.2464042205361367E-2</v>
      </c>
      <c r="C153" s="127">
        <f t="shared" si="36"/>
        <v>0.10610315129780591</v>
      </c>
      <c r="D153" s="127">
        <f t="shared" si="37"/>
        <v>0.26941181897737448</v>
      </c>
      <c r="E153" s="127">
        <f t="shared" si="38"/>
        <v>2.3368528695832232E-2</v>
      </c>
      <c r="F153" s="127">
        <f t="shared" si="39"/>
        <v>2.4311205219240649E-2</v>
      </c>
      <c r="G153" s="127">
        <f t="shared" si="40"/>
        <v>5.8569308476237099E-2</v>
      </c>
      <c r="H153" s="127">
        <f t="shared" si="41"/>
        <v>0.10020870533656098</v>
      </c>
      <c r="I153" s="127">
        <f t="shared" si="42"/>
        <v>0.13212878297360026</v>
      </c>
      <c r="J153" s="127">
        <f t="shared" si="43"/>
        <v>7.4335923168712986E-2</v>
      </c>
      <c r="K153" s="127">
        <f t="shared" si="44"/>
        <v>9.7085049892469008E-2</v>
      </c>
      <c r="L153" s="127">
        <f t="shared" si="45"/>
        <v>0.11632263893496955</v>
      </c>
      <c r="M153" s="127">
        <f t="shared" si="46"/>
        <v>6.4931578364435333E-2</v>
      </c>
      <c r="N153" s="127">
        <f t="shared" si="47"/>
        <v>6.1992126435505342E-2</v>
      </c>
      <c r="O153" s="127">
        <f t="shared" si="48"/>
        <v>0.28103401840415698</v>
      </c>
      <c r="P153" s="127">
        <f t="shared" si="49"/>
        <v>0.1053335901485941</v>
      </c>
      <c r="Q153" s="127">
        <f t="shared" si="50"/>
        <v>7.5067623267954714E-2</v>
      </c>
      <c r="R153" s="127">
        <f t="shared" si="51"/>
        <v>4.3815099818061969E-2</v>
      </c>
      <c r="S153" s="127">
        <f t="shared" si="52"/>
        <v>1.436662211430581E-2</v>
      </c>
      <c r="T153" s="127">
        <f t="shared" si="53"/>
        <v>3.5664829040834158E-2</v>
      </c>
      <c r="U153" s="127">
        <f t="shared" si="54"/>
        <v>4.3385084123076442E-2</v>
      </c>
      <c r="V153" s="127">
        <f t="shared" si="55"/>
        <v>7.2634780837798632E-2</v>
      </c>
      <c r="W153" s="127">
        <f t="shared" si="56"/>
        <v>-4.8269046251755987E-2</v>
      </c>
      <c r="X153" s="127">
        <f t="shared" si="57"/>
        <v>-4.0535450788473917E-4</v>
      </c>
      <c r="Y153" s="127">
        <f t="shared" si="58"/>
        <v>8.8463113376299904E-2</v>
      </c>
      <c r="Z153" s="127">
        <f t="shared" si="59"/>
        <v>0.10732799851941904</v>
      </c>
      <c r="AA153" s="127">
        <f t="shared" si="60"/>
        <v>0.24563214906027392</v>
      </c>
      <c r="AB153" s="127">
        <f t="shared" si="61"/>
        <v>2.7873489438840486E-2</v>
      </c>
      <c r="AC153" s="127">
        <f t="shared" si="62"/>
        <v>8.4947163176937623E-2</v>
      </c>
      <c r="AD153" s="127">
        <f t="shared" si="63"/>
        <v>-7.7877061744609635E-2</v>
      </c>
      <c r="AE153" s="127">
        <f t="shared" si="64"/>
        <v>2.5008027782369045E-3</v>
      </c>
      <c r="AF153" s="127">
        <f t="shared" si="65"/>
        <v>4.5474476945156814E-2</v>
      </c>
    </row>
    <row r="154" spans="1:32" x14ac:dyDescent="0.3">
      <c r="A154" s="126">
        <v>44075</v>
      </c>
      <c r="B154" s="127">
        <f t="shared" si="35"/>
        <v>6.0932230628259546E-2</v>
      </c>
      <c r="C154" s="127">
        <f t="shared" si="36"/>
        <v>-1.6520710815589569E-2</v>
      </c>
      <c r="D154" s="127">
        <f t="shared" si="37"/>
        <v>0.21841087951077795</v>
      </c>
      <c r="E154" s="127">
        <f t="shared" si="38"/>
        <v>-4.6978821221737098E-2</v>
      </c>
      <c r="F154" s="127">
        <f t="shared" si="39"/>
        <v>-0.10914059519979619</v>
      </c>
      <c r="G154" s="127">
        <f t="shared" si="40"/>
        <v>2.7202905390534528E-2</v>
      </c>
      <c r="H154" s="127">
        <f t="shared" si="41"/>
        <v>1.3703291284932802E-2</v>
      </c>
      <c r="I154" s="127">
        <f t="shared" si="42"/>
        <v>7.7255523372392235E-2</v>
      </c>
      <c r="J154" s="127">
        <f t="shared" si="43"/>
        <v>2.3217821246074084E-2</v>
      </c>
      <c r="K154" s="127">
        <f t="shared" si="44"/>
        <v>3.2238956192856882E-2</v>
      </c>
      <c r="L154" s="127">
        <f t="shared" si="45"/>
        <v>-8.5099075036418614E-2</v>
      </c>
      <c r="M154" s="127">
        <f t="shared" si="46"/>
        <v>6.1200998644065467E-2</v>
      </c>
      <c r="N154" s="127">
        <f t="shared" si="47"/>
        <v>-1.0452199071893924E-2</v>
      </c>
      <c r="O154" s="127">
        <f t="shared" si="48"/>
        <v>-2.0897943787384493E-3</v>
      </c>
      <c r="P154" s="127">
        <f t="shared" si="49"/>
        <v>7.2713831973384838E-2</v>
      </c>
      <c r="Q154" s="127">
        <f t="shared" si="50"/>
        <v>-3.2627590987519238E-2</v>
      </c>
      <c r="R154" s="127">
        <f t="shared" si="51"/>
        <v>8.4869323882041645E-2</v>
      </c>
      <c r="S154" s="127">
        <f t="shared" si="52"/>
        <v>-6.5738129409904561E-2</v>
      </c>
      <c r="T154" s="127">
        <f t="shared" si="53"/>
        <v>-4.5228550120345545E-2</v>
      </c>
      <c r="U154" s="127">
        <f t="shared" si="54"/>
        <v>-0.10144964225821015</v>
      </c>
      <c r="V154" s="127">
        <f t="shared" si="55"/>
        <v>-5.2222898182960983E-2</v>
      </c>
      <c r="W154" s="127">
        <f t="shared" si="56"/>
        <v>1.4034198576222904E-2</v>
      </c>
      <c r="X154" s="127">
        <f t="shared" si="57"/>
        <v>-4.703093387782932E-2</v>
      </c>
      <c r="Y154" s="127">
        <f t="shared" si="58"/>
        <v>1.9416174274947514E-2</v>
      </c>
      <c r="Z154" s="127">
        <f t="shared" si="59"/>
        <v>2.1735911016167647E-2</v>
      </c>
      <c r="AA154" s="127">
        <f t="shared" si="60"/>
        <v>9.1727373290503178E-2</v>
      </c>
      <c r="AB154" s="127">
        <f t="shared" si="61"/>
        <v>8.3663023926307339E-2</v>
      </c>
      <c r="AC154" s="127">
        <f t="shared" si="62"/>
        <v>-0.13063476292693682</v>
      </c>
      <c r="AD154" s="127">
        <f t="shared" si="63"/>
        <v>-0.32459984377389339</v>
      </c>
      <c r="AE154" s="127">
        <f t="shared" si="64"/>
        <v>-0.12752267182340468</v>
      </c>
      <c r="AF154" s="127">
        <f t="shared" si="65"/>
        <v>-1.8946120440494908E-2</v>
      </c>
    </row>
    <row r="155" spans="1:32" x14ac:dyDescent="0.3">
      <c r="A155" s="126">
        <v>44105</v>
      </c>
      <c r="B155" s="127">
        <f t="shared" si="35"/>
        <v>-2.7592021692517309E-2</v>
      </c>
      <c r="C155" s="127">
        <f t="shared" si="36"/>
        <v>-9.6283063317249298E-2</v>
      </c>
      <c r="D155" s="127">
        <f t="shared" si="37"/>
        <v>-5.6950919553318366E-2</v>
      </c>
      <c r="E155" s="127">
        <f t="shared" si="38"/>
        <v>-0.38029162000403827</v>
      </c>
      <c r="F155" s="127">
        <f t="shared" si="39"/>
        <v>-8.519097801401232E-2</v>
      </c>
      <c r="G155" s="127">
        <f t="shared" si="40"/>
        <v>-7.5802512088047266E-2</v>
      </c>
      <c r="H155" s="127">
        <f t="shared" si="41"/>
        <v>-2.8907893500677427E-2</v>
      </c>
      <c r="I155" s="127">
        <f t="shared" si="42"/>
        <v>-3.5498900959104449E-2</v>
      </c>
      <c r="J155" s="127">
        <f t="shared" si="43"/>
        <v>-2.6559810829636092E-2</v>
      </c>
      <c r="K155" s="127">
        <f t="shared" si="44"/>
        <v>-5.2766811539330376E-2</v>
      </c>
      <c r="L155" s="127">
        <f t="shared" si="45"/>
        <v>8.7289043349878415E-2</v>
      </c>
      <c r="M155" s="127">
        <f t="shared" si="46"/>
        <v>-9.9368007946419978E-2</v>
      </c>
      <c r="N155" s="127">
        <f t="shared" si="47"/>
        <v>-0.10384589751902912</v>
      </c>
      <c r="O155" s="127">
        <f t="shared" si="48"/>
        <v>2.2219694891434744E-2</v>
      </c>
      <c r="P155" s="127">
        <f t="shared" si="49"/>
        <v>-4.5618495918789068E-2</v>
      </c>
      <c r="Q155" s="127">
        <f t="shared" si="50"/>
        <v>-7.5014620689953584E-2</v>
      </c>
      <c r="R155" s="127">
        <f t="shared" si="51"/>
        <v>1.3945882632343854E-2</v>
      </c>
      <c r="S155" s="127">
        <f t="shared" si="52"/>
        <v>-0.18016095836161417</v>
      </c>
      <c r="T155" s="127">
        <f t="shared" si="53"/>
        <v>-1.0740793022852507E-2</v>
      </c>
      <c r="U155" s="127">
        <f t="shared" si="54"/>
        <v>1.9299630509758151E-2</v>
      </c>
      <c r="V155" s="127">
        <f t="shared" si="55"/>
        <v>7.3232541021712796E-3</v>
      </c>
      <c r="W155" s="127">
        <f t="shared" si="56"/>
        <v>-9.3058155855852101E-2</v>
      </c>
      <c r="X155" s="127">
        <f t="shared" si="57"/>
        <v>-4.96252465399009E-2</v>
      </c>
      <c r="Y155" s="127">
        <f t="shared" si="58"/>
        <v>-9.7664616925351916E-2</v>
      </c>
      <c r="Z155" s="127">
        <f t="shared" si="59"/>
        <v>-5.2622961978612045E-3</v>
      </c>
      <c r="AA155" s="127">
        <f t="shared" si="60"/>
        <v>-9.4942348324046397E-2</v>
      </c>
      <c r="AB155" s="127">
        <f t="shared" si="61"/>
        <v>-4.5575038140096405E-2</v>
      </c>
      <c r="AC155" s="127">
        <f t="shared" si="62"/>
        <v>-8.6309492539944202E-2</v>
      </c>
      <c r="AD155" s="127">
        <f t="shared" si="63"/>
        <v>-4.0401418974214419E-2</v>
      </c>
      <c r="AE155" s="127">
        <f t="shared" si="64"/>
        <v>-8.8841962269181438E-2</v>
      </c>
      <c r="AF155" s="127">
        <f t="shared" si="65"/>
        <v>-0.10370580672233294</v>
      </c>
    </row>
    <row r="156" spans="1:32" x14ac:dyDescent="0.3">
      <c r="A156" s="126">
        <v>44136</v>
      </c>
      <c r="B156" s="127">
        <f t="shared" si="35"/>
        <v>4.1974555954765548E-2</v>
      </c>
      <c r="C156" s="127">
        <f t="shared" si="36"/>
        <v>0.11955481678797715</v>
      </c>
      <c r="D156" s="127">
        <f t="shared" si="37"/>
        <v>0.30717904350267278</v>
      </c>
      <c r="E156" s="127">
        <f t="shared" si="38"/>
        <v>0.10056872909185754</v>
      </c>
      <c r="F156" s="127">
        <f t="shared" si="39"/>
        <v>0.26354985324897384</v>
      </c>
      <c r="G156" s="127">
        <f t="shared" si="40"/>
        <v>9.9424258029543133E-2</v>
      </c>
      <c r="H156" s="127">
        <f t="shared" si="41"/>
        <v>5.6111855881837522E-2</v>
      </c>
      <c r="I156" s="127">
        <f t="shared" si="42"/>
        <v>0.24088803461389047</v>
      </c>
      <c r="J156" s="127">
        <f t="shared" si="43"/>
        <v>0.19379264288669057</v>
      </c>
      <c r="K156" s="127">
        <f t="shared" si="44"/>
        <v>0.22101559991164882</v>
      </c>
      <c r="L156" s="127">
        <f t="shared" si="45"/>
        <v>-9.8999294050569647E-2</v>
      </c>
      <c r="M156" s="127">
        <f t="shared" si="46"/>
        <v>2.7239643817709935E-2</v>
      </c>
      <c r="N156" s="127">
        <f t="shared" si="47"/>
        <v>0.14467056423105662</v>
      </c>
      <c r="O156" s="127">
        <f t="shared" si="48"/>
        <v>0.11622220188241469</v>
      </c>
      <c r="P156" s="127">
        <f t="shared" si="49"/>
        <v>0.1602557447310014</v>
      </c>
      <c r="Q156" s="127">
        <f t="shared" si="50"/>
        <v>3.8705600171178425E-2</v>
      </c>
      <c r="R156" s="127">
        <f t="shared" si="51"/>
        <v>4.4637910570637256E-2</v>
      </c>
      <c r="S156" s="127">
        <f t="shared" si="52"/>
        <v>9.0883557088307101E-2</v>
      </c>
      <c r="T156" s="127">
        <f t="shared" si="53"/>
        <v>8.4821310557303228E-2</v>
      </c>
      <c r="U156" s="127">
        <f t="shared" si="54"/>
        <v>0.28840782734935538</v>
      </c>
      <c r="V156" s="127">
        <f t="shared" si="55"/>
        <v>-3.7780970622843843E-2</v>
      </c>
      <c r="W156" s="127">
        <f t="shared" si="56"/>
        <v>7.2956869350095613E-2</v>
      </c>
      <c r="X156" s="127">
        <f t="shared" si="57"/>
        <v>1.7037978145139236E-2</v>
      </c>
      <c r="Y156" s="127">
        <f t="shared" si="58"/>
        <v>0.26619182109978262</v>
      </c>
      <c r="Z156" s="127">
        <f t="shared" si="59"/>
        <v>0.23181799484047555</v>
      </c>
      <c r="AA156" s="127">
        <f t="shared" si="60"/>
        <v>9.3213953742786543E-2</v>
      </c>
      <c r="AB156" s="127">
        <f t="shared" si="61"/>
        <v>8.3536515605719647E-2</v>
      </c>
      <c r="AC156" s="127">
        <f t="shared" si="62"/>
        <v>0.15360766984493873</v>
      </c>
      <c r="AD156" s="127">
        <f t="shared" si="63"/>
        <v>0.32132913546202141</v>
      </c>
      <c r="AE156" s="127">
        <f t="shared" si="64"/>
        <v>0.19809375738356808</v>
      </c>
      <c r="AF156" s="127">
        <f t="shared" si="65"/>
        <v>0.13527319496666929</v>
      </c>
    </row>
    <row r="157" spans="1:32" x14ac:dyDescent="0.3">
      <c r="A157" s="126">
        <v>44166</v>
      </c>
      <c r="B157" s="127">
        <f t="shared" si="35"/>
        <v>-2.4694229170383157E-2</v>
      </c>
      <c r="C157" s="127">
        <f t="shared" si="36"/>
        <v>7.2971431973397213E-2</v>
      </c>
      <c r="D157" s="127">
        <f t="shared" si="37"/>
        <v>0.1254230072452045</v>
      </c>
      <c r="E157" s="127">
        <f t="shared" si="38"/>
        <v>4.2127772928673597E-2</v>
      </c>
      <c r="F157" s="127">
        <f t="shared" si="39"/>
        <v>9.9414520404925554E-3</v>
      </c>
      <c r="G157" s="127">
        <f t="shared" si="40"/>
        <v>4.1180847029492443E-2</v>
      </c>
      <c r="H157" s="127">
        <f t="shared" si="41"/>
        <v>-6.5518805534664241E-3</v>
      </c>
      <c r="I157" s="127">
        <f t="shared" si="42"/>
        <v>2.4232673190413955E-2</v>
      </c>
      <c r="J157" s="127">
        <f t="shared" si="43"/>
        <v>4.402447321347415E-2</v>
      </c>
      <c r="K157" s="127">
        <f t="shared" si="44"/>
        <v>-9.0444473242409507E-3</v>
      </c>
      <c r="L157" s="127">
        <f t="shared" si="45"/>
        <v>-7.935379808724119E-2</v>
      </c>
      <c r="M157" s="127">
        <f t="shared" si="46"/>
        <v>8.8517802405625873E-2</v>
      </c>
      <c r="N157" s="127">
        <f t="shared" si="47"/>
        <v>5.3908456880567307E-2</v>
      </c>
      <c r="O157" s="127">
        <f t="shared" si="48"/>
        <v>-2.3655367480211763E-2</v>
      </c>
      <c r="P157" s="127">
        <f t="shared" si="49"/>
        <v>3.9093914462850154E-2</v>
      </c>
      <c r="Q157" s="127">
        <f t="shared" si="50"/>
        <v>3.0223109448731897E-2</v>
      </c>
      <c r="R157" s="127">
        <f t="shared" si="51"/>
        <v>4.0705165313934456E-2</v>
      </c>
      <c r="S157" s="127">
        <f t="shared" si="52"/>
        <v>-1.3499954340513348E-2</v>
      </c>
      <c r="T157" s="127">
        <f t="shared" si="53"/>
        <v>-1.0550552625992589E-2</v>
      </c>
      <c r="U157" s="127">
        <f t="shared" si="54"/>
        <v>6.2913886269630681E-2</v>
      </c>
      <c r="V157" s="127">
        <f t="shared" si="55"/>
        <v>3.0940416074817935E-2</v>
      </c>
      <c r="W157" s="127">
        <f t="shared" si="56"/>
        <v>-3.2553214020431653E-2</v>
      </c>
      <c r="X157" s="127">
        <f t="shared" si="57"/>
        <v>4.1224526038740076E-4</v>
      </c>
      <c r="Y157" s="127">
        <f t="shared" si="58"/>
        <v>5.5359709987285205E-2</v>
      </c>
      <c r="Z157" s="127">
        <f t="shared" si="59"/>
        <v>6.7701635768068771E-2</v>
      </c>
      <c r="AA157" s="127">
        <f t="shared" si="60"/>
        <v>0.32201256254034127</v>
      </c>
      <c r="AB157" s="127">
        <f t="shared" si="61"/>
        <v>8.0048097599128232E-2</v>
      </c>
      <c r="AC157" s="127">
        <f t="shared" si="62"/>
        <v>2.6546668125581516E-2</v>
      </c>
      <c r="AD157" s="127">
        <f t="shared" si="63"/>
        <v>0.38111306786366289</v>
      </c>
      <c r="AE157" s="127">
        <f t="shared" si="64"/>
        <v>2.2215272751319536E-2</v>
      </c>
      <c r="AF157" s="127">
        <f t="shared" si="65"/>
        <v>2.708690545702256E-2</v>
      </c>
    </row>
    <row r="158" spans="1:32" x14ac:dyDescent="0.3">
      <c r="A158" s="126">
        <v>44197</v>
      </c>
      <c r="B158" s="127">
        <f t="shared" si="35"/>
        <v>-2.0175574893301289E-2</v>
      </c>
      <c r="C158" s="127">
        <f t="shared" si="36"/>
        <v>2.3532580647476271E-2</v>
      </c>
      <c r="D158" s="127">
        <f t="shared" si="37"/>
        <v>0.26669368737724802</v>
      </c>
      <c r="E158" s="127">
        <f t="shared" si="38"/>
        <v>-3.0807336356158278E-2</v>
      </c>
      <c r="F158" s="127">
        <f t="shared" si="39"/>
        <v>-7.8594204675934254E-2</v>
      </c>
      <c r="G158" s="127">
        <f t="shared" si="40"/>
        <v>7.8024058615334901E-2</v>
      </c>
      <c r="H158" s="127">
        <f t="shared" si="41"/>
        <v>1.0732947517543981E-3</v>
      </c>
      <c r="I158" s="127">
        <f t="shared" si="42"/>
        <v>6.4663018287938849E-3</v>
      </c>
      <c r="J158" s="127">
        <f t="shared" si="43"/>
        <v>3.6552947549826187E-2</v>
      </c>
      <c r="K158" s="127">
        <f t="shared" si="44"/>
        <v>-2.9110066173932594E-2</v>
      </c>
      <c r="L158" s="127">
        <f t="shared" si="45"/>
        <v>0.11113243876131754</v>
      </c>
      <c r="M158" s="127">
        <f t="shared" si="46"/>
        <v>-0.14828179012687706</v>
      </c>
      <c r="N158" s="127">
        <f t="shared" si="47"/>
        <v>1.6691418847644354E-2</v>
      </c>
      <c r="O158" s="127">
        <f t="shared" si="48"/>
        <v>-6.0214167186879067E-2</v>
      </c>
      <c r="P158" s="127">
        <f t="shared" si="49"/>
        <v>7.1203392441189506E-5</v>
      </c>
      <c r="Q158" s="127">
        <f t="shared" si="50"/>
        <v>-8.9137505393917058E-2</v>
      </c>
      <c r="R158" s="127">
        <f t="shared" si="51"/>
        <v>-2.5776264600877837E-2</v>
      </c>
      <c r="S158" s="127">
        <f t="shared" si="52"/>
        <v>-5.8849522168329463E-2</v>
      </c>
      <c r="T158" s="127">
        <f t="shared" si="53"/>
        <v>2.0637186172773124E-2</v>
      </c>
      <c r="U158" s="127">
        <f t="shared" si="54"/>
        <v>-0.11791294588575414</v>
      </c>
      <c r="V158" s="127">
        <f t="shared" si="55"/>
        <v>-7.4035577947671558E-2</v>
      </c>
      <c r="W158" s="127">
        <f t="shared" si="56"/>
        <v>-2.0126553358441632E-2</v>
      </c>
      <c r="X158" s="127">
        <f t="shared" si="57"/>
        <v>-3.4486432384675816E-2</v>
      </c>
      <c r="Y158" s="127">
        <f t="shared" si="58"/>
        <v>-1.2288416607329052E-2</v>
      </c>
      <c r="Z158" s="127">
        <f t="shared" si="59"/>
        <v>-3.8623433678863103E-2</v>
      </c>
      <c r="AA158" s="127">
        <f t="shared" si="60"/>
        <v>-5.8078049847909791E-2</v>
      </c>
      <c r="AB158" s="127">
        <f t="shared" si="61"/>
        <v>-0.15470878087165388</v>
      </c>
      <c r="AC158" s="127">
        <f t="shared" si="62"/>
        <v>-0.10134672368693716</v>
      </c>
      <c r="AD158" s="127">
        <f t="shared" si="63"/>
        <v>0.17802358023979456</v>
      </c>
      <c r="AE158" s="127">
        <f t="shared" si="64"/>
        <v>-3.4635464882101528E-2</v>
      </c>
      <c r="AF158" s="127">
        <f t="shared" si="65"/>
        <v>-2.5640647702753223E-2</v>
      </c>
    </row>
    <row r="159" spans="1:32" x14ac:dyDescent="0.3">
      <c r="A159" s="126">
        <v>44228</v>
      </c>
      <c r="B159" s="127">
        <f t="shared" si="35"/>
        <v>-4.9503239925244982E-2</v>
      </c>
      <c r="C159" s="127">
        <f t="shared" si="36"/>
        <v>9.8234543863049251E-2</v>
      </c>
      <c r="D159" s="127">
        <f t="shared" si="37"/>
        <v>-0.27139984399145795</v>
      </c>
      <c r="E159" s="127">
        <f t="shared" si="38"/>
        <v>-3.4471206094824694E-2</v>
      </c>
      <c r="F159" s="127">
        <f t="shared" si="39"/>
        <v>6.3456973460570887E-2</v>
      </c>
      <c r="G159" s="127">
        <f t="shared" si="40"/>
        <v>-6.6162158517120385E-3</v>
      </c>
      <c r="H159" s="127">
        <f t="shared" si="41"/>
        <v>-4.4461838039323073E-4</v>
      </c>
      <c r="I159" s="127">
        <f t="shared" si="42"/>
        <v>0.13169783962064779</v>
      </c>
      <c r="J159" s="127">
        <f t="shared" si="43"/>
        <v>6.5682824236189194E-2</v>
      </c>
      <c r="K159" s="127">
        <f t="shared" si="44"/>
        <v>2.3166677610572346E-2</v>
      </c>
      <c r="L159" s="127">
        <f t="shared" si="45"/>
        <v>2.3866530440957844E-2</v>
      </c>
      <c r="M159" s="127">
        <f t="shared" si="46"/>
        <v>7.7867669542355383E-2</v>
      </c>
      <c r="N159" s="127">
        <f t="shared" si="47"/>
        <v>0.14098648803687661</v>
      </c>
      <c r="O159" s="127">
        <f t="shared" si="48"/>
        <v>-6.5395278278919874E-2</v>
      </c>
      <c r="P159" s="127">
        <f t="shared" si="49"/>
        <v>1.3040834982274103E-2</v>
      </c>
      <c r="Q159" s="127">
        <f t="shared" si="50"/>
        <v>-5.3177594835515964E-2</v>
      </c>
      <c r="R159" s="127">
        <f t="shared" si="51"/>
        <v>-2.9855896089289586E-2</v>
      </c>
      <c r="S159" s="127">
        <f t="shared" si="52"/>
        <v>1.2087777080214353E-2</v>
      </c>
      <c r="T159" s="127">
        <f t="shared" si="53"/>
        <v>-0.12829192425794278</v>
      </c>
      <c r="U159" s="127">
        <f t="shared" si="54"/>
        <v>1.3468377664324351E-2</v>
      </c>
      <c r="V159" s="127">
        <f t="shared" si="55"/>
        <v>-5.5919454458467875E-2</v>
      </c>
      <c r="W159" s="127">
        <f t="shared" si="56"/>
        <v>-0.15174095330286025</v>
      </c>
      <c r="X159" s="127">
        <f t="shared" si="57"/>
        <v>-2.99816106637272E-2</v>
      </c>
      <c r="Y159" s="127">
        <f t="shared" si="58"/>
        <v>6.0864470833787675E-2</v>
      </c>
      <c r="Z159" s="127">
        <f t="shared" si="59"/>
        <v>3.4648513902778705E-2</v>
      </c>
      <c r="AA159" s="127">
        <f t="shared" si="60"/>
        <v>-1.9199914095606081E-2</v>
      </c>
      <c r="AB159" s="127">
        <f t="shared" si="61"/>
        <v>6.3769348083939026E-2</v>
      </c>
      <c r="AC159" s="127">
        <f t="shared" si="62"/>
        <v>9.7760860853890227E-2</v>
      </c>
      <c r="AD159" s="127">
        <f t="shared" si="63"/>
        <v>0.15908124540214374</v>
      </c>
      <c r="AE159" s="127">
        <f t="shared" si="64"/>
        <v>0.10834202263755942</v>
      </c>
      <c r="AF159" s="127">
        <f t="shared" si="65"/>
        <v>2.139029268501573E-2</v>
      </c>
    </row>
    <row r="160" spans="1:32" ht="14.5" thickBot="1" x14ac:dyDescent="0.35">
      <c r="A160" s="128">
        <v>44256</v>
      </c>
      <c r="B160" s="127">
        <f t="shared" si="35"/>
        <v>0.14120798911835475</v>
      </c>
      <c r="C160" s="127">
        <f t="shared" si="36"/>
        <v>0.31888121390972174</v>
      </c>
      <c r="D160" s="127">
        <f t="shared" si="37"/>
        <v>6.0990929102188181E-2</v>
      </c>
      <c r="E160" s="127">
        <f t="shared" si="38"/>
        <v>1.4882042502872509E-2</v>
      </c>
      <c r="F160" s="127">
        <f t="shared" si="39"/>
        <v>7.7489454717387329E-2</v>
      </c>
      <c r="G160" s="127">
        <f t="shared" si="40"/>
        <v>8.283960735695535E-2</v>
      </c>
      <c r="H160" s="127">
        <f t="shared" si="41"/>
        <v>0.12258604637571757</v>
      </c>
      <c r="I160" s="127">
        <f t="shared" si="42"/>
        <v>0.13820165916801597</v>
      </c>
      <c r="J160" s="127">
        <f t="shared" si="43"/>
        <v>-1.2962300840250704E-2</v>
      </c>
      <c r="K160" s="127">
        <f t="shared" si="44"/>
        <v>0.21507337869504928</v>
      </c>
      <c r="L160" s="127">
        <f t="shared" si="45"/>
        <v>-4.8595121900906417E-2</v>
      </c>
      <c r="M160" s="127">
        <f t="shared" si="46"/>
        <v>-0.10170113567991565</v>
      </c>
      <c r="N160" s="127">
        <f t="shared" si="47"/>
        <v>0.30644530512298351</v>
      </c>
      <c r="O160" s="127">
        <f t="shared" si="48"/>
        <v>-0.12876034106803436</v>
      </c>
      <c r="P160" s="127">
        <f t="shared" si="49"/>
        <v>-4.5064484576042459E-2</v>
      </c>
      <c r="Q160" s="127">
        <f t="shared" si="50"/>
        <v>4.5929595843091787E-2</v>
      </c>
      <c r="R160" s="127">
        <f t="shared" si="51"/>
        <v>7.3585574874047474E-2</v>
      </c>
      <c r="S160" s="127">
        <f t="shared" si="52"/>
        <v>3.4455849639261973E-2</v>
      </c>
      <c r="T160" s="127">
        <f t="shared" si="53"/>
        <v>5.9477425699617358E-2</v>
      </c>
      <c r="U160" s="127">
        <f t="shared" si="54"/>
        <v>6.3675480184211177E-3</v>
      </c>
      <c r="V160" s="127">
        <f t="shared" si="55"/>
        <v>1.3528220229292636E-2</v>
      </c>
      <c r="W160" s="127">
        <f t="shared" si="56"/>
        <v>8.9948110699162295E-2</v>
      </c>
      <c r="X160" s="127">
        <f t="shared" si="57"/>
        <v>0.16300379774640034</v>
      </c>
      <c r="Y160" s="127">
        <f t="shared" si="58"/>
        <v>4.645315656276168E-2</v>
      </c>
      <c r="Z160" s="127">
        <f t="shared" si="59"/>
        <v>-4.5754979478619548E-2</v>
      </c>
      <c r="AA160" s="127">
        <f t="shared" si="60"/>
        <v>-4.00144678278355E-2</v>
      </c>
      <c r="AB160" s="127">
        <f t="shared" si="61"/>
        <v>-7.339471455291223E-2</v>
      </c>
      <c r="AC160" s="127">
        <f t="shared" si="62"/>
        <v>6.1800536654143937E-2</v>
      </c>
      <c r="AD160" s="127">
        <f t="shared" si="63"/>
        <v>2.994933193710584E-2</v>
      </c>
      <c r="AE160" s="127">
        <f t="shared" si="64"/>
        <v>4.4211785941496849E-2</v>
      </c>
      <c r="AF160" s="127">
        <f t="shared" si="65"/>
        <v>8.0351787499718622E-2</v>
      </c>
    </row>
  </sheetData>
  <mergeCells count="2">
    <mergeCell ref="A1:R1"/>
    <mergeCell ref="A85:N85"/>
  </mergeCells>
  <pageMargins left="0.7" right="0.7" top="0.75" bottom="0.75" header="0.3" footer="0.3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958D-C431-4EF6-A342-42B2D018ACD3}">
  <sheetPr codeName="Trang_tính3">
    <pageSetUpPr fitToPage="1"/>
  </sheetPr>
  <dimension ref="A1:AF132"/>
  <sheetViews>
    <sheetView topLeftCell="A119" zoomScale="66" zoomScaleNormal="66" workbookViewId="0">
      <selection activeCell="B103" sqref="B103"/>
    </sheetView>
  </sheetViews>
  <sheetFormatPr defaultRowHeight="14" x14ac:dyDescent="0.3"/>
  <cols>
    <col min="2" max="2" width="9.5" customWidth="1"/>
    <col min="3" max="3" width="9.5" bestFit="1" customWidth="1"/>
    <col min="4" max="4" width="10.1640625" bestFit="1" customWidth="1"/>
    <col min="5" max="5" width="9.5" bestFit="1" customWidth="1"/>
    <col min="6" max="6" width="10.1640625" bestFit="1" customWidth="1"/>
    <col min="7" max="10" width="9.5" bestFit="1" customWidth="1"/>
    <col min="11" max="11" width="9.4140625" customWidth="1"/>
    <col min="12" max="12" width="10.1640625" bestFit="1" customWidth="1"/>
    <col min="13" max="31" width="9.5" bestFit="1" customWidth="1"/>
  </cols>
  <sheetData>
    <row r="1" spans="1:31" ht="23" x14ac:dyDescent="0.5">
      <c r="A1" s="143" t="s">
        <v>131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</row>
    <row r="2" spans="1:31" ht="17" customHeight="1" thickBot="1" x14ac:dyDescent="0.5">
      <c r="A2" s="15" t="s">
        <v>138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31" ht="14.5" x14ac:dyDescent="0.35">
      <c r="A3" s="13"/>
      <c r="B3" s="13" t="s">
        <v>41</v>
      </c>
      <c r="C3" s="13" t="s">
        <v>42</v>
      </c>
      <c r="D3" s="13" t="s">
        <v>10</v>
      </c>
      <c r="E3" s="13" t="s">
        <v>43</v>
      </c>
      <c r="F3" s="13" t="s">
        <v>44</v>
      </c>
      <c r="G3" s="13" t="s">
        <v>45</v>
      </c>
      <c r="H3" s="13" t="s">
        <v>46</v>
      </c>
      <c r="I3" s="13" t="s">
        <v>47</v>
      </c>
      <c r="J3" s="13" t="s">
        <v>12</v>
      </c>
      <c r="K3" s="13" t="s">
        <v>48</v>
      </c>
      <c r="L3" s="13" t="s">
        <v>11</v>
      </c>
      <c r="M3" s="13" t="s">
        <v>13</v>
      </c>
      <c r="N3" s="13" t="s">
        <v>49</v>
      </c>
      <c r="O3" s="13" t="s">
        <v>14</v>
      </c>
      <c r="P3" s="13" t="s">
        <v>17</v>
      </c>
      <c r="Q3" s="13" t="s">
        <v>50</v>
      </c>
      <c r="R3" s="13" t="s">
        <v>51</v>
      </c>
      <c r="S3" s="13" t="s">
        <v>52</v>
      </c>
      <c r="T3" s="13" t="s">
        <v>53</v>
      </c>
      <c r="U3" s="13" t="s">
        <v>15</v>
      </c>
      <c r="V3" s="13" t="s">
        <v>54</v>
      </c>
      <c r="W3" s="13" t="s">
        <v>55</v>
      </c>
      <c r="X3" s="13" t="s">
        <v>56</v>
      </c>
      <c r="Y3" s="13" t="s">
        <v>57</v>
      </c>
      <c r="Z3" s="13" t="s">
        <v>58</v>
      </c>
      <c r="AA3" s="13" t="s">
        <v>59</v>
      </c>
      <c r="AB3" s="13" t="s">
        <v>16</v>
      </c>
      <c r="AC3" s="13" t="s">
        <v>60</v>
      </c>
      <c r="AD3" s="13" t="s">
        <v>61</v>
      </c>
      <c r="AE3" s="13" t="s">
        <v>62</v>
      </c>
    </row>
    <row r="4" spans="1:31" x14ac:dyDescent="0.3">
      <c r="A4" t="s">
        <v>41</v>
      </c>
      <c r="B4" s="63">
        <f t="array" ref="B4">_xlfn.VAR.P('ROR-Var-Sd'!$B$87:$B$160)</f>
        <v>2.384494185632476E-3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31" x14ac:dyDescent="0.3">
      <c r="A5" t="s">
        <v>42</v>
      </c>
      <c r="B5" s="63">
        <v>2.4981701330190551E-3</v>
      </c>
      <c r="C5" s="63">
        <f>VARP('ROR-Var-Sd'!$C$87:$C$160)</f>
        <v>1.4299219441883844E-2</v>
      </c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31" x14ac:dyDescent="0.3">
      <c r="A6" t="s">
        <v>10</v>
      </c>
      <c r="B6" s="63">
        <v>1.5560702664570189E-3</v>
      </c>
      <c r="C6" s="63">
        <v>2.5068858074373743E-3</v>
      </c>
      <c r="D6" s="63">
        <f>VARP('ROR-Var-Sd'!$D$87:$D$160)</f>
        <v>2.5472533551859942E-2</v>
      </c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</row>
    <row r="7" spans="1:31" x14ac:dyDescent="0.3">
      <c r="A7" t="s">
        <v>43</v>
      </c>
      <c r="B7" s="63">
        <v>1.4985643747522578E-3</v>
      </c>
      <c r="C7" s="63">
        <v>3.4315704070765436E-3</v>
      </c>
      <c r="D7" s="63">
        <v>2.3031991552318991E-3</v>
      </c>
      <c r="E7" s="63">
        <f>VARP('ROR-Var-Sd'!$E$87:$E$160)</f>
        <v>5.3466106556725318E-3</v>
      </c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</row>
    <row r="8" spans="1:31" x14ac:dyDescent="0.3">
      <c r="A8" t="s">
        <v>44</v>
      </c>
      <c r="B8" s="63">
        <v>1.4977140572797292E-3</v>
      </c>
      <c r="C8" s="63">
        <v>4.8870507846777243E-3</v>
      </c>
      <c r="D8" s="63">
        <v>1.9279226835310689E-3</v>
      </c>
      <c r="E8" s="63">
        <v>2.7536425435265139E-3</v>
      </c>
      <c r="F8" s="63">
        <f>VARP('ROR-Var-Sd'!$F$87:$F$160)</f>
        <v>4.8153521457343536E-3</v>
      </c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31" x14ac:dyDescent="0.3">
      <c r="A9" t="s">
        <v>45</v>
      </c>
      <c r="B9" s="63">
        <v>2.0308374558464528E-3</v>
      </c>
      <c r="C9" s="63">
        <v>4.7686619350086699E-3</v>
      </c>
      <c r="D9" s="63">
        <v>4.0727821392125083E-3</v>
      </c>
      <c r="E9" s="63">
        <v>3.0944634131371716E-3</v>
      </c>
      <c r="F9" s="63">
        <v>2.8943320176626226E-3</v>
      </c>
      <c r="G9" s="63">
        <f>VARP('ROR-Var-Sd'!$G$87:$G$160)</f>
        <v>4.895064072725705E-3</v>
      </c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</row>
    <row r="10" spans="1:31" x14ac:dyDescent="0.3">
      <c r="A10" t="s">
        <v>46</v>
      </c>
      <c r="B10" s="63">
        <v>1.893742366053006E-3</v>
      </c>
      <c r="C10" s="63">
        <v>4.0920657646609775E-3</v>
      </c>
      <c r="D10" s="63">
        <v>2.5298525047502316E-3</v>
      </c>
      <c r="E10" s="63">
        <v>2.255183739585615E-3</v>
      </c>
      <c r="F10" s="63">
        <v>2.9240232109897552E-3</v>
      </c>
      <c r="G10" s="63">
        <v>2.8652310908617988E-3</v>
      </c>
      <c r="H10" s="63">
        <f>VARP('ROR-Var-Sd'!$H$87:$H$160)</f>
        <v>4.7026835941648033E-3</v>
      </c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</row>
    <row r="11" spans="1:31" x14ac:dyDescent="0.3">
      <c r="A11" t="s">
        <v>47</v>
      </c>
      <c r="B11" s="63">
        <v>2.3882839092367754E-3</v>
      </c>
      <c r="C11" s="63">
        <v>7.8820748267634921E-3</v>
      </c>
      <c r="D11" s="63">
        <v>3.5037068407164709E-3</v>
      </c>
      <c r="E11" s="63">
        <v>3.6332059936670727E-3</v>
      </c>
      <c r="F11" s="63">
        <v>4.6787850761864308E-3</v>
      </c>
      <c r="G11" s="63">
        <v>4.7455492161856041E-3</v>
      </c>
      <c r="H11" s="63">
        <v>4.6259711740960861E-3</v>
      </c>
      <c r="I11" s="63">
        <f>VARP('ROR-Var-Sd'!$I$87:$I$160)</f>
        <v>8.8981539797343863E-3</v>
      </c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31" x14ac:dyDescent="0.3">
      <c r="A12" t="s">
        <v>12</v>
      </c>
      <c r="B12" s="63">
        <v>2.3965265775832516E-3</v>
      </c>
      <c r="C12" s="63">
        <v>5.8772836304532474E-3</v>
      </c>
      <c r="D12" s="63">
        <v>3.2178935320613914E-3</v>
      </c>
      <c r="E12" s="63">
        <v>2.8777143380952024E-3</v>
      </c>
      <c r="F12" s="63">
        <v>3.5911233546618931E-3</v>
      </c>
      <c r="G12" s="63">
        <v>4.1488775093578463E-3</v>
      </c>
      <c r="H12" s="63">
        <v>3.3480334509036662E-3</v>
      </c>
      <c r="I12" s="63">
        <v>6.6377640575949392E-3</v>
      </c>
      <c r="J12" s="63">
        <f>VARP('ROR-Var-Sd'!$J$87:$J$160)</f>
        <v>8.7891300309570226E-3</v>
      </c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</row>
    <row r="13" spans="1:31" x14ac:dyDescent="0.3">
      <c r="A13" t="s">
        <v>48</v>
      </c>
      <c r="B13" s="63">
        <v>2.2612830952911714E-3</v>
      </c>
      <c r="C13" s="63">
        <v>7.3914974587305591E-3</v>
      </c>
      <c r="D13" s="63">
        <v>2.3298785851469869E-3</v>
      </c>
      <c r="E13" s="63">
        <v>2.9902092811638129E-3</v>
      </c>
      <c r="F13" s="63">
        <v>4.4424939112040693E-3</v>
      </c>
      <c r="G13" s="63">
        <v>3.9042247924012375E-3</v>
      </c>
      <c r="H13" s="63">
        <v>4.2099844013201654E-3</v>
      </c>
      <c r="I13" s="63">
        <v>7.1928145109706075E-3</v>
      </c>
      <c r="J13" s="63">
        <v>5.707477507138319E-3</v>
      </c>
      <c r="K13" s="63">
        <f>VARP('ROR-Var-Sd'!$K$87:$K$160)</f>
        <v>7.4970016065053179E-3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</row>
    <row r="14" spans="1:31" x14ac:dyDescent="0.3">
      <c r="A14" t="s">
        <v>11</v>
      </c>
      <c r="B14" s="63">
        <v>1.0766475840228954E-4</v>
      </c>
      <c r="C14" s="63">
        <v>2.9051058917184131E-4</v>
      </c>
      <c r="D14" s="63">
        <v>6.4582070317558261E-4</v>
      </c>
      <c r="E14" s="63">
        <v>1.0170376054903208E-3</v>
      </c>
      <c r="F14" s="63">
        <v>-5.4326022286017882E-4</v>
      </c>
      <c r="G14" s="63">
        <v>7.0557253727471442E-4</v>
      </c>
      <c r="H14" s="63">
        <v>6.4495034894240279E-4</v>
      </c>
      <c r="I14" s="63">
        <v>9.8345578495623309E-4</v>
      </c>
      <c r="J14" s="63">
        <v>2.9506166769851914E-4</v>
      </c>
      <c r="K14" s="63">
        <v>-7.8767769392027136E-6</v>
      </c>
      <c r="L14" s="63">
        <f>VARP('ROR-Var-Sd'!$L$87:$L$160)</f>
        <v>6.7151818301300703E-3</v>
      </c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</row>
    <row r="15" spans="1:31" x14ac:dyDescent="0.3">
      <c r="A15" t="s">
        <v>13</v>
      </c>
      <c r="B15" s="63">
        <v>1.4056820768273352E-3</v>
      </c>
      <c r="C15" s="63">
        <v>1.6871200079126951E-3</v>
      </c>
      <c r="D15" s="63">
        <v>-1.2985649332439742E-4</v>
      </c>
      <c r="E15" s="63">
        <v>2.0661079141432769E-3</v>
      </c>
      <c r="F15" s="63">
        <v>1.8586587602960397E-3</v>
      </c>
      <c r="G15" s="63">
        <v>2.0718801972949494E-3</v>
      </c>
      <c r="H15" s="63">
        <v>1.5001822538589058E-3</v>
      </c>
      <c r="I15" s="63">
        <v>2.470377892152131E-3</v>
      </c>
      <c r="J15" s="63">
        <v>2.3991429316900666E-3</v>
      </c>
      <c r="K15" s="63">
        <v>2.0507516221871637E-3</v>
      </c>
      <c r="L15" s="63">
        <v>5.9110874650783126E-4</v>
      </c>
      <c r="M15" s="63">
        <f>VARP('ROR-Var-Sd'!$M$87:$M$160)</f>
        <v>5.4654543106127541E-3</v>
      </c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</row>
    <row r="16" spans="1:31" x14ac:dyDescent="0.3">
      <c r="A16" t="s">
        <v>49</v>
      </c>
      <c r="B16" s="63">
        <v>2.5689644155217732E-3</v>
      </c>
      <c r="C16" s="63">
        <v>1.3347026933064695E-2</v>
      </c>
      <c r="D16" s="63">
        <v>2.1529727505825358E-3</v>
      </c>
      <c r="E16" s="63">
        <v>3.4675384327068843E-3</v>
      </c>
      <c r="F16" s="63">
        <v>5.0444349667089425E-3</v>
      </c>
      <c r="G16" s="63">
        <v>4.6757020726152908E-3</v>
      </c>
      <c r="H16" s="63">
        <v>4.2534138256100102E-3</v>
      </c>
      <c r="I16" s="63">
        <v>8.1361197934242888E-3</v>
      </c>
      <c r="J16" s="63">
        <v>6.1376417755068351E-3</v>
      </c>
      <c r="K16" s="63">
        <v>7.2985221474995031E-3</v>
      </c>
      <c r="L16" s="63">
        <v>1.3423042281030716E-4</v>
      </c>
      <c r="M16" s="63">
        <v>1.9575554350846638E-3</v>
      </c>
      <c r="N16" s="63">
        <f>VARP('ROR-Var-Sd'!$N$87:$N$160)</f>
        <v>1.3060901378748069E-2</v>
      </c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</row>
    <row r="17" spans="1:31" x14ac:dyDescent="0.3">
      <c r="A17" t="s">
        <v>14</v>
      </c>
      <c r="B17" s="63">
        <v>3.4990089916760387E-4</v>
      </c>
      <c r="C17" s="63">
        <v>2.9285086461531018E-3</v>
      </c>
      <c r="D17" s="63">
        <v>4.3411831968611309E-3</v>
      </c>
      <c r="E17" s="63">
        <v>1.5479701124962463E-3</v>
      </c>
      <c r="F17" s="63">
        <v>2.4227329332677794E-3</v>
      </c>
      <c r="G17" s="63">
        <v>2.0777315370873579E-3</v>
      </c>
      <c r="H17" s="63">
        <v>2.2343562488576678E-3</v>
      </c>
      <c r="I17" s="63">
        <v>3.2980657658902056E-3</v>
      </c>
      <c r="J17" s="63">
        <v>2.7588173754516149E-3</v>
      </c>
      <c r="K17" s="63">
        <v>2.8930730107624794E-3</v>
      </c>
      <c r="L17" s="63">
        <v>8.9949731022517234E-4</v>
      </c>
      <c r="M17" s="63">
        <v>1.4186852266685722E-3</v>
      </c>
      <c r="N17" s="63">
        <v>2.8275805096493203E-3</v>
      </c>
      <c r="O17" s="63">
        <f>VARP('ROR-Var-Sd'!$O$87:$O$160)</f>
        <v>9.4159245119794042E-3</v>
      </c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</row>
    <row r="18" spans="1:31" x14ac:dyDescent="0.3">
      <c r="A18" t="s">
        <v>17</v>
      </c>
      <c r="B18" s="63">
        <v>2.6082224206510863E-3</v>
      </c>
      <c r="C18" s="63">
        <v>7.5636491411075011E-3</v>
      </c>
      <c r="D18" s="63">
        <v>3.8466840500112026E-3</v>
      </c>
      <c r="E18" s="63">
        <v>5.2119316707789701E-3</v>
      </c>
      <c r="F18" s="63">
        <v>4.4721583325941592E-3</v>
      </c>
      <c r="G18" s="63">
        <v>5.4008896230757107E-3</v>
      </c>
      <c r="H18" s="63">
        <v>5.1734246241684767E-3</v>
      </c>
      <c r="I18" s="63">
        <v>8.3044162719958341E-3</v>
      </c>
      <c r="J18" s="63">
        <v>6.418677195571188E-3</v>
      </c>
      <c r="K18" s="63">
        <v>6.7745287103625953E-3</v>
      </c>
      <c r="L18" s="63">
        <v>2.4340430006874816E-3</v>
      </c>
      <c r="M18" s="63">
        <v>3.1313000886547572E-3</v>
      </c>
      <c r="N18" s="63">
        <v>7.3555269839775264E-3</v>
      </c>
      <c r="O18" s="63">
        <v>3.4634924147848652E-3</v>
      </c>
      <c r="P18" s="63">
        <f>VARP('ROR-Var-Sd'!$P$87:$P$160)</f>
        <v>1.7919872502320952E-2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</row>
    <row r="19" spans="1:31" x14ac:dyDescent="0.3">
      <c r="A19" t="s">
        <v>50</v>
      </c>
      <c r="B19" s="63">
        <v>9.4371156277130955E-4</v>
      </c>
      <c r="C19" s="63">
        <v>9.0261583086292615E-4</v>
      </c>
      <c r="D19" s="63">
        <v>1.3533316153472867E-3</v>
      </c>
      <c r="E19" s="63">
        <v>1.348912727219815E-3</v>
      </c>
      <c r="F19" s="63">
        <v>7.3078564567765866E-4</v>
      </c>
      <c r="G19" s="63">
        <v>1.2391865777787389E-3</v>
      </c>
      <c r="H19" s="63">
        <v>1.3103029877965932E-3</v>
      </c>
      <c r="I19" s="63">
        <v>1.2167967506377703E-3</v>
      </c>
      <c r="J19" s="63">
        <v>9.0716517433408106E-4</v>
      </c>
      <c r="K19" s="63">
        <v>8.4762817468018764E-4</v>
      </c>
      <c r="L19" s="63">
        <v>4.6188452866843051E-4</v>
      </c>
      <c r="M19" s="63">
        <v>1.5220430477382401E-3</v>
      </c>
      <c r="N19" s="63">
        <v>1.1781211932793737E-3</v>
      </c>
      <c r="O19" s="63">
        <v>7.240807070345611E-4</v>
      </c>
      <c r="P19" s="63">
        <v>9.376437607175708E-4</v>
      </c>
      <c r="Q19" s="63">
        <f>VARP('ROR-Var-Sd'!$Q$87:$Q$160)</f>
        <v>3.1235721832326073E-3</v>
      </c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</row>
    <row r="20" spans="1:31" x14ac:dyDescent="0.3">
      <c r="A20" t="s">
        <v>51</v>
      </c>
      <c r="B20" s="63">
        <v>1.6875716347433325E-3</v>
      </c>
      <c r="C20" s="63">
        <v>3.6308108176529726E-3</v>
      </c>
      <c r="D20" s="63">
        <v>2.2183282734994582E-3</v>
      </c>
      <c r="E20" s="63">
        <v>1.6374170409916796E-3</v>
      </c>
      <c r="F20" s="63">
        <v>1.6618895310305663E-3</v>
      </c>
      <c r="G20" s="63">
        <v>1.9887842673045899E-3</v>
      </c>
      <c r="H20" s="63">
        <v>1.8533620932017045E-3</v>
      </c>
      <c r="I20" s="63">
        <v>2.9056323124207403E-3</v>
      </c>
      <c r="J20" s="63">
        <v>2.5787354245302659E-3</v>
      </c>
      <c r="K20" s="63">
        <v>2.5412718355349194E-3</v>
      </c>
      <c r="L20" s="63">
        <v>1.0798920027324766E-3</v>
      </c>
      <c r="M20" s="63">
        <v>1.1658180518437256E-3</v>
      </c>
      <c r="N20" s="63">
        <v>3.3277528386420597E-3</v>
      </c>
      <c r="O20" s="63">
        <v>9.8303829806138752E-4</v>
      </c>
      <c r="P20" s="63">
        <v>3.9474959674363503E-3</v>
      </c>
      <c r="Q20" s="63">
        <v>7.1371368410012414E-4</v>
      </c>
      <c r="R20" s="63">
        <f>VARP('ROR-Var-Sd'!$R$87:$R$160)</f>
        <v>3.8851472067456859E-3</v>
      </c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</row>
    <row r="21" spans="1:31" x14ac:dyDescent="0.3">
      <c r="A21" t="s">
        <v>52</v>
      </c>
      <c r="B21" s="63">
        <v>7.4055038827365561E-4</v>
      </c>
      <c r="C21" s="63">
        <v>2.4530569669558482E-3</v>
      </c>
      <c r="D21" s="63">
        <v>3.1824644143399266E-4</v>
      </c>
      <c r="E21" s="63">
        <v>2.1223455921592057E-3</v>
      </c>
      <c r="F21" s="63">
        <v>1.9613653103037567E-3</v>
      </c>
      <c r="G21" s="63">
        <v>1.4388589183431941E-3</v>
      </c>
      <c r="H21" s="63">
        <v>1.2665346811446868E-3</v>
      </c>
      <c r="I21" s="63">
        <v>2.0724019925194583E-3</v>
      </c>
      <c r="J21" s="63">
        <v>1.7577525488533185E-3</v>
      </c>
      <c r="K21" s="63">
        <v>1.7356389128812698E-3</v>
      </c>
      <c r="L21" s="63">
        <v>3.8892492928577476E-4</v>
      </c>
      <c r="M21" s="63">
        <v>1.1424603833904202E-3</v>
      </c>
      <c r="N21" s="63">
        <v>2.5643694615966315E-3</v>
      </c>
      <c r="O21" s="63">
        <v>1.6041849673000099E-3</v>
      </c>
      <c r="P21" s="63">
        <v>2.5035674882383663E-3</v>
      </c>
      <c r="Q21" s="63">
        <v>1.2897396883796504E-3</v>
      </c>
      <c r="R21" s="63">
        <v>1.2381168863745968E-3</v>
      </c>
      <c r="S21" s="63">
        <f>VARP('ROR-Var-Sd'!$S$87:$S$160)</f>
        <v>2.8822290138335259E-3</v>
      </c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</row>
    <row r="22" spans="1:31" x14ac:dyDescent="0.3">
      <c r="A22" t="s">
        <v>53</v>
      </c>
      <c r="B22" s="63">
        <v>2.328113801124505E-3</v>
      </c>
      <c r="C22" s="63">
        <v>3.4879196507243723E-3</v>
      </c>
      <c r="D22" s="63">
        <v>3.5093457391261874E-3</v>
      </c>
      <c r="E22" s="63">
        <v>2.2968678157429855E-3</v>
      </c>
      <c r="F22" s="63">
        <v>1.7574081382341253E-3</v>
      </c>
      <c r="G22" s="63">
        <v>2.1038723207405536E-3</v>
      </c>
      <c r="H22" s="63">
        <v>1.8634258358912095E-3</v>
      </c>
      <c r="I22" s="63">
        <v>2.3196948273113182E-3</v>
      </c>
      <c r="J22" s="63">
        <v>3.0019756955961055E-3</v>
      </c>
      <c r="K22" s="63">
        <v>1.7173021253463685E-3</v>
      </c>
      <c r="L22" s="63">
        <v>1.432889123125233E-3</v>
      </c>
      <c r="M22" s="63">
        <v>2.5415532026061703E-3</v>
      </c>
      <c r="N22" s="63">
        <v>3.7818668525825888E-3</v>
      </c>
      <c r="O22" s="63">
        <v>1.5007432959440216E-3</v>
      </c>
      <c r="P22" s="63">
        <v>3.4597177965169658E-3</v>
      </c>
      <c r="Q22" s="63">
        <v>2.6406257438492406E-3</v>
      </c>
      <c r="R22" s="63">
        <v>2.1071660367546936E-3</v>
      </c>
      <c r="S22" s="63">
        <v>1.484444894010921E-3</v>
      </c>
      <c r="T22" s="63">
        <f>VARP('ROR-Var-Sd'!$T$87:$T$160)</f>
        <v>1.2713970882269877E-2</v>
      </c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</row>
    <row r="23" spans="1:31" x14ac:dyDescent="0.3">
      <c r="A23" t="s">
        <v>15</v>
      </c>
      <c r="B23" s="63">
        <v>1.9480018334503094E-3</v>
      </c>
      <c r="C23" s="63">
        <v>5.7776166553566849E-3</v>
      </c>
      <c r="D23" s="63">
        <v>3.472177075708377E-3</v>
      </c>
      <c r="E23" s="63">
        <v>2.7863054676494246E-3</v>
      </c>
      <c r="F23" s="63">
        <v>4.3339350049541956E-3</v>
      </c>
      <c r="G23" s="63">
        <v>3.7302534396955857E-3</v>
      </c>
      <c r="H23" s="63">
        <v>3.0227609569874903E-3</v>
      </c>
      <c r="I23" s="63">
        <v>5.3591488738300285E-3</v>
      </c>
      <c r="J23" s="63">
        <v>5.2146874241243988E-3</v>
      </c>
      <c r="K23" s="63">
        <v>4.3543506154448451E-3</v>
      </c>
      <c r="L23" s="63">
        <v>2.0862031851922883E-4</v>
      </c>
      <c r="M23" s="63">
        <v>3.3767003999388037E-3</v>
      </c>
      <c r="N23" s="63">
        <v>5.9840918635904287E-3</v>
      </c>
      <c r="O23" s="63">
        <v>2.5913616712346195E-3</v>
      </c>
      <c r="P23" s="63">
        <v>5.8535994635914865E-3</v>
      </c>
      <c r="Q23" s="63">
        <v>2.1208420253692418E-3</v>
      </c>
      <c r="R23" s="63">
        <v>2.937105093285344E-3</v>
      </c>
      <c r="S23" s="63">
        <v>2.4249081373158119E-3</v>
      </c>
      <c r="T23" s="63">
        <v>3.3930432472014486E-3</v>
      </c>
      <c r="U23" s="63">
        <f>VARP('ROR-Var-Sd'!$U$87:$U$160)</f>
        <v>9.3029019789056498E-3</v>
      </c>
      <c r="V23" s="63"/>
      <c r="W23" s="63"/>
      <c r="X23" s="63"/>
      <c r="Y23" s="63"/>
      <c r="Z23" s="63"/>
      <c r="AA23" s="63"/>
      <c r="AB23" s="63"/>
      <c r="AC23" s="63"/>
      <c r="AD23" s="63"/>
      <c r="AE23" s="63"/>
    </row>
    <row r="24" spans="1:31" x14ac:dyDescent="0.3">
      <c r="A24" t="s">
        <v>54</v>
      </c>
      <c r="B24" s="63">
        <v>6.818953588733777E-4</v>
      </c>
      <c r="C24" s="63">
        <v>3.6092547813799334E-4</v>
      </c>
      <c r="D24" s="63">
        <v>9.0377658582430228E-4</v>
      </c>
      <c r="E24" s="63">
        <v>5.6952362456505587E-4</v>
      </c>
      <c r="F24" s="63">
        <v>6.6090116662426897E-5</v>
      </c>
      <c r="G24" s="63">
        <v>9.3047407068081464E-4</v>
      </c>
      <c r="H24" s="63">
        <v>6.4478014367140048E-4</v>
      </c>
      <c r="I24" s="63">
        <v>4.7704329232337462E-4</v>
      </c>
      <c r="J24" s="63">
        <v>1.0248653946704537E-3</v>
      </c>
      <c r="K24" s="63">
        <v>4.37724537322092E-4</v>
      </c>
      <c r="L24" s="63">
        <v>6.2489040906234814E-4</v>
      </c>
      <c r="M24" s="63">
        <v>1.153538332561214E-3</v>
      </c>
      <c r="N24" s="63">
        <v>4.1694809525672557E-4</v>
      </c>
      <c r="O24" s="63">
        <v>4.2498085217258249E-4</v>
      </c>
      <c r="P24" s="63">
        <v>5.1216307952500068E-4</v>
      </c>
      <c r="Q24" s="63">
        <v>2.6304279645096447E-3</v>
      </c>
      <c r="R24" s="63">
        <v>6.7744442148950381E-4</v>
      </c>
      <c r="S24" s="63">
        <v>8.1634695571931881E-4</v>
      </c>
      <c r="T24" s="63">
        <v>2.2146845878647211E-3</v>
      </c>
      <c r="U24" s="63">
        <v>1.0669557006826071E-3</v>
      </c>
      <c r="V24" s="63">
        <f>VARP('ROR-Var-Sd'!$V$87:$V$160)</f>
        <v>3.5694948115454197E-3</v>
      </c>
      <c r="W24" s="63"/>
      <c r="X24" s="63"/>
      <c r="Y24" s="63"/>
      <c r="Z24" s="63"/>
      <c r="AA24" s="63"/>
      <c r="AB24" s="63"/>
      <c r="AC24" s="63"/>
      <c r="AD24" s="63"/>
      <c r="AE24" s="63"/>
    </row>
    <row r="25" spans="1:31" x14ac:dyDescent="0.3">
      <c r="A25" t="s">
        <v>55</v>
      </c>
      <c r="B25" s="63">
        <v>1.7875564890764762E-3</v>
      </c>
      <c r="C25" s="63">
        <v>2.4460385113231988E-3</v>
      </c>
      <c r="D25" s="63">
        <v>2.3513714889934708E-3</v>
      </c>
      <c r="E25" s="63">
        <v>3.1025382241780153E-3</v>
      </c>
      <c r="F25" s="63">
        <v>2.1189364661244946E-3</v>
      </c>
      <c r="G25" s="63">
        <v>2.5556265355098696E-3</v>
      </c>
      <c r="H25" s="63">
        <v>2.3791203295637857E-3</v>
      </c>
      <c r="I25" s="63">
        <v>3.0870643495470333E-3</v>
      </c>
      <c r="J25" s="63">
        <v>3.0562185773368427E-3</v>
      </c>
      <c r="K25" s="63">
        <v>2.5718874942326289E-3</v>
      </c>
      <c r="L25" s="63">
        <v>1.5430522215170801E-3</v>
      </c>
      <c r="M25" s="63">
        <v>1.4228601087509737E-3</v>
      </c>
      <c r="N25" s="63">
        <v>2.7020269355175963E-3</v>
      </c>
      <c r="O25" s="63">
        <v>2.3952738163770513E-3</v>
      </c>
      <c r="P25" s="63">
        <v>4.309563230473195E-3</v>
      </c>
      <c r="Q25" s="63">
        <v>1.4386886972470197E-3</v>
      </c>
      <c r="R25" s="63">
        <v>1.8834312908670092E-3</v>
      </c>
      <c r="S25" s="63">
        <v>1.8943074907955041E-3</v>
      </c>
      <c r="T25" s="63">
        <v>2.9709320799340185E-3</v>
      </c>
      <c r="U25" s="63">
        <v>2.8646257291191179E-3</v>
      </c>
      <c r="V25" s="63">
        <v>8.8403114756062493E-4</v>
      </c>
      <c r="W25" s="63">
        <f>VARP('ROR-Var-Sd'!$W$87:$W$160)</f>
        <v>5.2750504892919324E-3</v>
      </c>
      <c r="X25" s="63"/>
      <c r="Y25" s="63"/>
      <c r="Z25" s="63"/>
      <c r="AA25" s="63"/>
      <c r="AB25" s="63"/>
      <c r="AC25" s="63"/>
      <c r="AD25" s="63"/>
      <c r="AE25" s="63"/>
    </row>
    <row r="26" spans="1:31" x14ac:dyDescent="0.3">
      <c r="A26" t="s">
        <v>56</v>
      </c>
      <c r="B26" s="63">
        <v>1.1385007793679974E-3</v>
      </c>
      <c r="C26" s="63">
        <v>4.0245407270226271E-3</v>
      </c>
      <c r="D26" s="63">
        <v>2.1408756072306178E-3</v>
      </c>
      <c r="E26" s="63">
        <v>2.0536571437721023E-3</v>
      </c>
      <c r="F26" s="63">
        <v>1.5512096284852265E-3</v>
      </c>
      <c r="G26" s="63">
        <v>1.7185085547789386E-3</v>
      </c>
      <c r="H26" s="63">
        <v>1.4822511309081868E-3</v>
      </c>
      <c r="I26" s="63">
        <v>2.2358639806497899E-3</v>
      </c>
      <c r="J26" s="63">
        <v>1.3395770311580327E-3</v>
      </c>
      <c r="K26" s="63">
        <v>1.8470153888982199E-3</v>
      </c>
      <c r="L26" s="63">
        <v>7.809207012253104E-4</v>
      </c>
      <c r="M26" s="63">
        <v>9.1165759368317788E-4</v>
      </c>
      <c r="N26" s="63">
        <v>3.8373076276522131E-3</v>
      </c>
      <c r="O26" s="63">
        <v>5.844644256219585E-4</v>
      </c>
      <c r="P26" s="63">
        <v>3.5542231645435646E-3</v>
      </c>
      <c r="Q26" s="63">
        <v>1.5113536616793654E-3</v>
      </c>
      <c r="R26" s="63">
        <v>1.5186867846802652E-3</v>
      </c>
      <c r="S26" s="63">
        <v>1.2438785167665789E-3</v>
      </c>
      <c r="T26" s="63">
        <v>6.0454531465285871E-3</v>
      </c>
      <c r="U26" s="63">
        <v>2.0790803427569141E-3</v>
      </c>
      <c r="V26" s="63">
        <v>1.1560554398418747E-3</v>
      </c>
      <c r="W26" s="63">
        <v>1.9511138331466914E-3</v>
      </c>
      <c r="X26" s="63">
        <f>VARP('ROR-Var-Sd'!$X$87:$X$160)</f>
        <v>5.5047973383906337E-3</v>
      </c>
      <c r="Y26" s="63"/>
      <c r="Z26" s="63"/>
      <c r="AA26" s="63"/>
      <c r="AB26" s="63"/>
      <c r="AC26" s="63"/>
      <c r="AD26" s="63"/>
      <c r="AE26" s="63"/>
    </row>
    <row r="27" spans="1:31" x14ac:dyDescent="0.3">
      <c r="A27" t="s">
        <v>57</v>
      </c>
      <c r="B27" s="63">
        <v>1.9170422886946412E-3</v>
      </c>
      <c r="C27" s="63">
        <v>5.6256013862890182E-3</v>
      </c>
      <c r="D27" s="63">
        <v>3.4162003922131659E-3</v>
      </c>
      <c r="E27" s="63">
        <v>3.0473695581406265E-3</v>
      </c>
      <c r="F27" s="63">
        <v>4.0959723966253253E-3</v>
      </c>
      <c r="G27" s="63">
        <v>3.7007898876295444E-3</v>
      </c>
      <c r="H27" s="63">
        <v>3.5587459961864461E-3</v>
      </c>
      <c r="I27" s="63">
        <v>5.84179951938988E-3</v>
      </c>
      <c r="J27" s="63">
        <v>5.0127660974266085E-3</v>
      </c>
      <c r="K27" s="63">
        <v>5.1843285813111218E-3</v>
      </c>
      <c r="L27" s="63">
        <v>-1.6320365687393838E-4</v>
      </c>
      <c r="M27" s="63">
        <v>2.40064744643063E-3</v>
      </c>
      <c r="N27" s="63">
        <v>5.7472345021659559E-3</v>
      </c>
      <c r="O27" s="63">
        <v>2.66137479861562E-3</v>
      </c>
      <c r="P27" s="63">
        <v>6.3828805781008203E-3</v>
      </c>
      <c r="Q27" s="63">
        <v>7.5424940793424565E-4</v>
      </c>
      <c r="R27" s="63">
        <v>2.2160070841185167E-3</v>
      </c>
      <c r="S27" s="63">
        <v>1.5748552972869353E-3</v>
      </c>
      <c r="T27" s="63">
        <v>1.980997380646075E-3</v>
      </c>
      <c r="U27" s="63">
        <v>4.6137983938226313E-3</v>
      </c>
      <c r="V27" s="63">
        <v>4.1142135318078974E-5</v>
      </c>
      <c r="W27" s="63">
        <v>2.6065391003722363E-3</v>
      </c>
      <c r="X27" s="63">
        <v>1.351638315595347E-3</v>
      </c>
      <c r="Y27" s="63">
        <f>VARP('ROR-Var-Sd'!$Y$87:$Y$160)</f>
        <v>5.706633892432849E-3</v>
      </c>
      <c r="Z27" s="63"/>
      <c r="AA27" s="63"/>
      <c r="AB27" s="63"/>
      <c r="AC27" s="63"/>
      <c r="AD27" s="63"/>
      <c r="AE27" s="63"/>
    </row>
    <row r="28" spans="1:31" x14ac:dyDescent="0.3">
      <c r="A28" t="s">
        <v>58</v>
      </c>
      <c r="B28" s="63">
        <v>1.7129883517462902E-3</v>
      </c>
      <c r="C28" s="63">
        <v>6.2957315097895757E-3</v>
      </c>
      <c r="D28" s="63">
        <v>2.1571120916675777E-3</v>
      </c>
      <c r="E28" s="63">
        <v>2.8059867243957594E-3</v>
      </c>
      <c r="F28" s="63">
        <v>4.2544891836741681E-3</v>
      </c>
      <c r="G28" s="63">
        <v>4.1225158677013572E-3</v>
      </c>
      <c r="H28" s="63">
        <v>3.2150604893592563E-3</v>
      </c>
      <c r="I28" s="63">
        <v>7.2311811289607533E-3</v>
      </c>
      <c r="J28" s="63">
        <v>6.8514116146594804E-3</v>
      </c>
      <c r="K28" s="63">
        <v>5.8964741794653745E-3</v>
      </c>
      <c r="L28" s="63">
        <v>5.2885625013671773E-4</v>
      </c>
      <c r="M28" s="63">
        <v>3.1319436051948464E-3</v>
      </c>
      <c r="N28" s="63">
        <v>6.495978091778069E-3</v>
      </c>
      <c r="O28" s="63">
        <v>3.8401695257472565E-3</v>
      </c>
      <c r="P28" s="63">
        <v>7.2094774424615558E-3</v>
      </c>
      <c r="Q28" s="63">
        <v>1.075961545249257E-3</v>
      </c>
      <c r="R28" s="63">
        <v>2.1777744837769742E-3</v>
      </c>
      <c r="S28" s="63">
        <v>2.0315670956668626E-3</v>
      </c>
      <c r="T28" s="63">
        <v>2.5044144747543018E-3</v>
      </c>
      <c r="U28" s="63">
        <v>5.7502384639892519E-3</v>
      </c>
      <c r="V28" s="63">
        <v>7.3683956566783981E-4</v>
      </c>
      <c r="W28" s="63">
        <v>3.122739413025568E-3</v>
      </c>
      <c r="X28" s="63">
        <v>1.4229953125679325E-3</v>
      </c>
      <c r="Y28" s="63">
        <v>5.243274942193535E-3</v>
      </c>
      <c r="Z28" s="63">
        <f>VARP('ROR-Var-Sd'!$Z$87:$Z$160)</f>
        <v>8.7263369580352513E-3</v>
      </c>
      <c r="AA28" s="63"/>
      <c r="AB28" s="63"/>
      <c r="AC28" s="63"/>
      <c r="AD28" s="63"/>
      <c r="AE28" s="63"/>
    </row>
    <row r="29" spans="1:31" x14ac:dyDescent="0.3">
      <c r="A29" t="s">
        <v>59</v>
      </c>
      <c r="B29" s="63">
        <v>3.0745515686123369E-3</v>
      </c>
      <c r="C29" s="63">
        <v>9.0144042763090938E-3</v>
      </c>
      <c r="D29" s="63">
        <v>4.8513733510090438E-3</v>
      </c>
      <c r="E29" s="63">
        <v>4.749225317268904E-3</v>
      </c>
      <c r="F29" s="63">
        <v>5.9860437558792107E-3</v>
      </c>
      <c r="G29" s="63">
        <v>6.0068141835097535E-3</v>
      </c>
      <c r="H29" s="63">
        <v>6.0834682705367691E-3</v>
      </c>
      <c r="I29" s="63">
        <v>9.4159756776109483E-3</v>
      </c>
      <c r="J29" s="63">
        <v>9.9649313575853032E-3</v>
      </c>
      <c r="K29" s="63">
        <v>7.3714791766341823E-3</v>
      </c>
      <c r="L29" s="63">
        <v>7.2246358374330479E-4</v>
      </c>
      <c r="M29" s="63">
        <v>5.5973356105254758E-3</v>
      </c>
      <c r="N29" s="63">
        <v>9.7822373100402617E-3</v>
      </c>
      <c r="O29" s="63">
        <v>5.5452579289484013E-3</v>
      </c>
      <c r="P29" s="63">
        <v>9.4214519110932642E-3</v>
      </c>
      <c r="Q29" s="63">
        <v>2.6052319615468707E-3</v>
      </c>
      <c r="R29" s="63">
        <v>3.3674494774448048E-3</v>
      </c>
      <c r="S29" s="63">
        <v>3.3145797378327721E-3</v>
      </c>
      <c r="T29" s="63">
        <v>4.7871199756156493E-3</v>
      </c>
      <c r="U29" s="63">
        <v>9.0958126360691314E-3</v>
      </c>
      <c r="V29" s="63">
        <v>1.4778850751391954E-3</v>
      </c>
      <c r="W29" s="63">
        <v>5.4267524336336463E-3</v>
      </c>
      <c r="X29" s="63">
        <v>2.8711681237809914E-3</v>
      </c>
      <c r="Y29" s="63">
        <v>7.4521685613454982E-3</v>
      </c>
      <c r="Z29" s="63">
        <v>1.0474080277038259E-2</v>
      </c>
      <c r="AA29" s="63">
        <f>VARP('ROR-Var-Sd'!$AA$87:$AA$160)</f>
        <v>2.2236910658710522E-2</v>
      </c>
      <c r="AB29" s="63"/>
      <c r="AC29" s="63"/>
      <c r="AD29" s="63"/>
      <c r="AE29" s="63"/>
    </row>
    <row r="30" spans="1:31" x14ac:dyDescent="0.3">
      <c r="A30" t="s">
        <v>16</v>
      </c>
      <c r="B30" s="63">
        <v>1.1922851794961124E-3</v>
      </c>
      <c r="C30" s="63">
        <v>1.8180264992557766E-3</v>
      </c>
      <c r="D30" s="63">
        <v>9.4782937072080472E-4</v>
      </c>
      <c r="E30" s="63">
        <v>1.7222394120724287E-3</v>
      </c>
      <c r="F30" s="63">
        <v>1.4646614712559771E-3</v>
      </c>
      <c r="G30" s="63">
        <v>1.4064121791114307E-3</v>
      </c>
      <c r="H30" s="63">
        <v>1.5254236319293345E-3</v>
      </c>
      <c r="I30" s="63">
        <v>2.408987222515029E-3</v>
      </c>
      <c r="J30" s="63">
        <v>2.3877173361312766E-3</v>
      </c>
      <c r="K30" s="63">
        <v>1.7215515799183729E-3</v>
      </c>
      <c r="L30" s="63">
        <v>5.2587719657720565E-5</v>
      </c>
      <c r="M30" s="63">
        <v>2.524836954733834E-3</v>
      </c>
      <c r="N30" s="63">
        <v>1.9303005546178296E-3</v>
      </c>
      <c r="O30" s="63">
        <v>4.0294791343873748E-5</v>
      </c>
      <c r="P30" s="63">
        <v>4.6942231337229277E-3</v>
      </c>
      <c r="Q30" s="63">
        <v>1.4888889556970296E-3</v>
      </c>
      <c r="R30" s="63">
        <v>1.7469879357123884E-3</v>
      </c>
      <c r="S30" s="63">
        <v>1.9560645967893458E-3</v>
      </c>
      <c r="T30" s="63">
        <v>1.551975842773021E-3</v>
      </c>
      <c r="U30" s="63">
        <v>4.205216884669162E-3</v>
      </c>
      <c r="V30" s="63">
        <v>1.0438450737086525E-3</v>
      </c>
      <c r="W30" s="63">
        <v>9.7874570601495878E-4</v>
      </c>
      <c r="X30" s="63">
        <v>8.0470403484446775E-4</v>
      </c>
      <c r="Y30" s="63">
        <v>2.1060614244643875E-3</v>
      </c>
      <c r="Z30" s="63">
        <v>2.9280206498934632E-3</v>
      </c>
      <c r="AA30" s="63">
        <v>5.042796832488353E-3</v>
      </c>
      <c r="AB30" s="63">
        <f>VARP('ROR-Var-Sd'!$AB$87:$AB$160)</f>
        <v>7.1974507947215475E-3</v>
      </c>
      <c r="AC30" s="63"/>
      <c r="AD30" s="63"/>
      <c r="AE30" s="63"/>
    </row>
    <row r="31" spans="1:31" x14ac:dyDescent="0.3">
      <c r="A31" t="s">
        <v>60</v>
      </c>
      <c r="B31" s="63">
        <v>1.4363925403440803E-3</v>
      </c>
      <c r="C31" s="63">
        <v>3.8297448709942216E-3</v>
      </c>
      <c r="D31" s="63">
        <v>1.1838198274509259E-3</v>
      </c>
      <c r="E31" s="63">
        <v>2.4313693072017103E-3</v>
      </c>
      <c r="F31" s="63">
        <v>3.6744943134860552E-3</v>
      </c>
      <c r="G31" s="63">
        <v>2.6397854923492369E-3</v>
      </c>
      <c r="H31" s="63">
        <v>2.1085124818719611E-3</v>
      </c>
      <c r="I31" s="63">
        <v>4.0369755213692767E-3</v>
      </c>
      <c r="J31" s="63">
        <v>3.2032892840828261E-3</v>
      </c>
      <c r="K31" s="63">
        <v>3.4819236550235671E-3</v>
      </c>
      <c r="L31" s="63">
        <v>-1.915242467405729E-4</v>
      </c>
      <c r="M31" s="63">
        <v>1.8927919362384962E-3</v>
      </c>
      <c r="N31" s="63">
        <v>4.0040825659681525E-3</v>
      </c>
      <c r="O31" s="63">
        <v>1.8605857773264522E-3</v>
      </c>
      <c r="P31" s="63">
        <v>3.4471029536921778E-3</v>
      </c>
      <c r="Q31" s="63">
        <v>1.1114756450315932E-3</v>
      </c>
      <c r="R31" s="63">
        <v>1.4229082803829409E-3</v>
      </c>
      <c r="S31" s="63">
        <v>1.7756702760477882E-3</v>
      </c>
      <c r="T31" s="63">
        <v>1.1535727164005609E-3</v>
      </c>
      <c r="U31" s="63">
        <v>3.8578382226491506E-3</v>
      </c>
      <c r="V31" s="63">
        <v>5.5451133615314443E-4</v>
      </c>
      <c r="W31" s="63">
        <v>1.5456267402811149E-3</v>
      </c>
      <c r="X31" s="63">
        <v>8.7702588315653285E-4</v>
      </c>
      <c r="Y31" s="63">
        <v>3.0910416000036996E-3</v>
      </c>
      <c r="Z31" s="63">
        <v>3.4797877500772436E-3</v>
      </c>
      <c r="AA31" s="63">
        <v>4.7597473122699832E-3</v>
      </c>
      <c r="AB31" s="63">
        <v>1.493735710311769E-3</v>
      </c>
      <c r="AC31" s="63">
        <f>VARP('ROR-Var-Sd'!$AC$87:$AC$160)</f>
        <v>4.1031835059645054E-3</v>
      </c>
      <c r="AD31" s="63"/>
      <c r="AE31" s="63"/>
    </row>
    <row r="32" spans="1:31" x14ac:dyDescent="0.3">
      <c r="A32" t="s">
        <v>61</v>
      </c>
      <c r="B32" s="63">
        <v>1.9169101248456186E-3</v>
      </c>
      <c r="C32" s="63">
        <v>9.6970532927112951E-3</v>
      </c>
      <c r="D32" s="63">
        <v>6.4869289378816893E-3</v>
      </c>
      <c r="E32" s="63">
        <v>3.9160166030083529E-3</v>
      </c>
      <c r="F32" s="63">
        <v>5.9530285948511405E-3</v>
      </c>
      <c r="G32" s="63">
        <v>5.54479707928353E-3</v>
      </c>
      <c r="H32" s="63">
        <v>4.0735028792375253E-3</v>
      </c>
      <c r="I32" s="63">
        <v>8.0888042998620725E-3</v>
      </c>
      <c r="J32" s="63">
        <v>7.1751609382486219E-3</v>
      </c>
      <c r="K32" s="63">
        <v>6.5586774876373582E-3</v>
      </c>
      <c r="L32" s="63">
        <v>1.3456003858849039E-3</v>
      </c>
      <c r="M32" s="63">
        <v>3.1521264400492508E-3</v>
      </c>
      <c r="N32" s="63">
        <v>9.5972779493499975E-3</v>
      </c>
      <c r="O32" s="63">
        <v>3.4230138140930845E-3</v>
      </c>
      <c r="P32" s="63">
        <v>8.4776357885233914E-3</v>
      </c>
      <c r="Q32" s="63">
        <v>1.1530564493007003E-3</v>
      </c>
      <c r="R32" s="63">
        <v>3.5997041312226404E-3</v>
      </c>
      <c r="S32" s="63">
        <v>2.9247064595993252E-3</v>
      </c>
      <c r="T32" s="63">
        <v>4.4326732059954289E-3</v>
      </c>
      <c r="U32" s="63">
        <v>7.9865890969305908E-3</v>
      </c>
      <c r="V32" s="63">
        <v>8.5990326661324024E-4</v>
      </c>
      <c r="W32" s="63">
        <v>3.0564163896687827E-3</v>
      </c>
      <c r="X32" s="63">
        <v>2.5735053965155186E-3</v>
      </c>
      <c r="Y32" s="63">
        <v>6.6975737698110691E-3</v>
      </c>
      <c r="Z32" s="63">
        <v>8.1932860761499571E-3</v>
      </c>
      <c r="AA32" s="63">
        <v>1.2116391032327005E-2</v>
      </c>
      <c r="AB32" s="63">
        <v>2.5201725863498339E-3</v>
      </c>
      <c r="AC32" s="63">
        <v>4.8511928075773338E-3</v>
      </c>
      <c r="AD32" s="63">
        <f>VARP('ROR-Var-Sd'!$AD$87:$AD$160)</f>
        <v>1.8832090324324782E-2</v>
      </c>
      <c r="AE32" s="63"/>
    </row>
    <row r="33" spans="1:32" ht="14.5" thickBot="1" x14ac:dyDescent="0.35">
      <c r="A33" s="10" t="s">
        <v>62</v>
      </c>
      <c r="B33" s="64">
        <v>1.176011350784155E-3</v>
      </c>
      <c r="C33" s="64">
        <v>4.0164235300757549E-3</v>
      </c>
      <c r="D33" s="64">
        <v>1.6502430664240236E-3</v>
      </c>
      <c r="E33" s="64">
        <v>2.2062912162781638E-3</v>
      </c>
      <c r="F33" s="64">
        <v>3.7911232028576916E-3</v>
      </c>
      <c r="G33" s="64">
        <v>2.2998606926345174E-3</v>
      </c>
      <c r="H33" s="64">
        <v>2.5374651195766863E-3</v>
      </c>
      <c r="I33" s="64">
        <v>3.9344379918948586E-3</v>
      </c>
      <c r="J33" s="64">
        <v>2.8341525412965158E-3</v>
      </c>
      <c r="K33" s="64">
        <v>3.5188388458963073E-3</v>
      </c>
      <c r="L33" s="64">
        <v>-1.7186948981602477E-4</v>
      </c>
      <c r="M33" s="64">
        <v>2.0023717512769506E-3</v>
      </c>
      <c r="N33" s="64">
        <v>4.3575600870726398E-3</v>
      </c>
      <c r="O33" s="64">
        <v>1.9274387417739154E-3</v>
      </c>
      <c r="P33" s="64">
        <v>3.5053175863880969E-3</v>
      </c>
      <c r="Q33" s="64">
        <v>1.0526377845126312E-3</v>
      </c>
      <c r="R33" s="64">
        <v>1.0870967128682064E-3</v>
      </c>
      <c r="S33" s="64">
        <v>2.0319022770716177E-3</v>
      </c>
      <c r="T33" s="64">
        <v>1.5653095662051314E-3</v>
      </c>
      <c r="U33" s="64">
        <v>3.9766859885704258E-3</v>
      </c>
      <c r="V33" s="64">
        <v>3.899951680899562E-4</v>
      </c>
      <c r="W33" s="64">
        <v>1.7293595267877273E-3</v>
      </c>
      <c r="X33" s="64">
        <v>1.2579671687152683E-3</v>
      </c>
      <c r="Y33" s="64">
        <v>3.2145253142691829E-3</v>
      </c>
      <c r="Z33" s="64">
        <v>3.7601205972710478E-3</v>
      </c>
      <c r="AA33" s="64">
        <v>5.6345621770035274E-3</v>
      </c>
      <c r="AB33" s="64">
        <v>1.5642877321948897E-3</v>
      </c>
      <c r="AC33" s="64">
        <v>3.1505324212103137E-3</v>
      </c>
      <c r="AD33" s="64">
        <v>5.9577737223579256E-3</v>
      </c>
      <c r="AE33" s="64">
        <f>VARP('ROR-Var-Sd'!$AE$87:$AE$160)</f>
        <v>4.2134607099265364E-3</v>
      </c>
    </row>
    <row r="35" spans="1:32" ht="16" thickBot="1" x14ac:dyDescent="0.35">
      <c r="A35" s="15" t="s">
        <v>139</v>
      </c>
    </row>
    <row r="36" spans="1:32" ht="14.5" x14ac:dyDescent="0.35">
      <c r="A36" s="13"/>
      <c r="B36" s="13" t="s">
        <v>41</v>
      </c>
      <c r="C36" s="13" t="s">
        <v>42</v>
      </c>
      <c r="D36" s="13" t="s">
        <v>10</v>
      </c>
      <c r="E36" s="13" t="s">
        <v>43</v>
      </c>
      <c r="F36" s="13" t="s">
        <v>44</v>
      </c>
      <c r="G36" s="13" t="s">
        <v>45</v>
      </c>
      <c r="H36" s="13" t="s">
        <v>46</v>
      </c>
      <c r="I36" s="13" t="s">
        <v>47</v>
      </c>
      <c r="J36" s="13" t="s">
        <v>12</v>
      </c>
      <c r="K36" s="13" t="s">
        <v>48</v>
      </c>
      <c r="L36" s="13" t="s">
        <v>11</v>
      </c>
      <c r="M36" s="13" t="s">
        <v>13</v>
      </c>
      <c r="N36" s="13" t="s">
        <v>49</v>
      </c>
      <c r="O36" s="13" t="s">
        <v>14</v>
      </c>
      <c r="P36" s="13" t="s">
        <v>17</v>
      </c>
      <c r="Q36" s="13" t="s">
        <v>50</v>
      </c>
      <c r="R36" s="13" t="s">
        <v>51</v>
      </c>
      <c r="S36" s="13" t="s">
        <v>52</v>
      </c>
      <c r="T36" s="13" t="s">
        <v>53</v>
      </c>
      <c r="U36" s="13" t="s">
        <v>15</v>
      </c>
      <c r="V36" s="13" t="s">
        <v>54</v>
      </c>
      <c r="W36" s="13" t="s">
        <v>55</v>
      </c>
      <c r="X36" s="13" t="s">
        <v>56</v>
      </c>
      <c r="Y36" s="13" t="s">
        <v>57</v>
      </c>
      <c r="Z36" s="13" t="s">
        <v>58</v>
      </c>
      <c r="AA36" s="13" t="s">
        <v>59</v>
      </c>
      <c r="AB36" s="13" t="s">
        <v>16</v>
      </c>
      <c r="AC36" s="13" t="s">
        <v>60</v>
      </c>
      <c r="AD36" s="13" t="s">
        <v>61</v>
      </c>
      <c r="AE36" s="13" t="s">
        <v>62</v>
      </c>
    </row>
    <row r="37" spans="1:32" x14ac:dyDescent="0.3">
      <c r="A37" t="s">
        <v>41</v>
      </c>
      <c r="B37" s="63">
        <f t="array" ref="B37:AE66">MMULT(TRANSPOSE('ROR-Var-Sd'!B87:AF160),'ROR-Var-Sd'!B87:AF160)/73</f>
        <v>2.4171584895452498E-3</v>
      </c>
      <c r="C37" s="63">
        <v>2.5323916416905489E-3</v>
      </c>
      <c r="D37" s="63">
        <v>1.5773862975043754E-3</v>
      </c>
      <c r="E37" s="63">
        <v>1.5190926538584532E-3</v>
      </c>
      <c r="F37" s="63">
        <v>1.5182306882013693E-3</v>
      </c>
      <c r="G37" s="63">
        <v>2.0586571470224318E-3</v>
      </c>
      <c r="H37" s="63">
        <v>1.9196840423003074E-3</v>
      </c>
      <c r="I37" s="63">
        <v>2.4210001271715259E-3</v>
      </c>
      <c r="J37" s="63">
        <v>2.4293557087830221E-3</v>
      </c>
      <c r="K37" s="63">
        <v>2.2922595760485848E-3</v>
      </c>
      <c r="L37" s="63">
        <v>1.0913961810643039E-4</v>
      </c>
      <c r="M37" s="63">
        <v>1.4249379956879835E-3</v>
      </c>
      <c r="N37" s="63">
        <v>2.6041557088850851E-3</v>
      </c>
      <c r="O37" s="63">
        <v>3.5469406216989972E-4</v>
      </c>
      <c r="P37" s="63">
        <v>2.6439514949065804E-3</v>
      </c>
      <c r="Q37" s="63">
        <v>9.5663911842571098E-4</v>
      </c>
      <c r="R37" s="63">
        <v>1.7106890543973508E-3</v>
      </c>
      <c r="S37" s="63">
        <v>7.5069491414041809E-4</v>
      </c>
      <c r="T37" s="63">
        <v>2.3600057710029226E-3</v>
      </c>
      <c r="U37" s="63">
        <v>1.9746867900729162E-3</v>
      </c>
      <c r="V37" s="63">
        <v>6.9123639118671162E-4</v>
      </c>
      <c r="W37" s="63">
        <v>1.8120435642693046E-3</v>
      </c>
      <c r="X37" s="63">
        <v>1.1540966804552302E-3</v>
      </c>
      <c r="Y37" s="63">
        <v>1.9433031419644308E-3</v>
      </c>
      <c r="Z37" s="63">
        <v>1.7364539456058284E-3</v>
      </c>
      <c r="AA37" s="63">
        <v>3.1166687133878487E-3</v>
      </c>
      <c r="AB37" s="63">
        <v>1.2086178531878398E-3</v>
      </c>
      <c r="AC37" s="63">
        <v>1.45606915048578E-3</v>
      </c>
      <c r="AD37" s="63">
        <v>1.943169167651723E-3</v>
      </c>
      <c r="AE37" s="63">
        <v>1.1921210953154448E-3</v>
      </c>
      <c r="AF37" t="str" cm="1">
        <f t="array" ref="AF37">getformula(AE37)</f>
        <v>=MMULT(TRANSPOSE('ROR-Var-Sd'!B87:AF160),'ROR-Var-Sd'!B87:AF160)/73</v>
      </c>
    </row>
    <row r="38" spans="1:32" x14ac:dyDescent="0.3">
      <c r="A38" t="s">
        <v>42</v>
      </c>
      <c r="B38" s="63">
        <v>2.5323916416905489E-3</v>
      </c>
      <c r="C38" s="63">
        <v>1.4495099160265814E-2</v>
      </c>
      <c r="D38" s="63">
        <v>2.5412267089091191E-3</v>
      </c>
      <c r="E38" s="63">
        <v>3.4785782208721131E-3</v>
      </c>
      <c r="F38" s="63">
        <v>4.9539966858376935E-3</v>
      </c>
      <c r="G38" s="63">
        <v>4.8339860711046788E-3</v>
      </c>
      <c r="H38" s="63">
        <v>4.1481214600672927E-3</v>
      </c>
      <c r="I38" s="63">
        <v>7.9900484545273754E-3</v>
      </c>
      <c r="J38" s="63">
        <v>5.957794365116992E-3</v>
      </c>
      <c r="K38" s="63">
        <v>7.4927508485761827E-3</v>
      </c>
      <c r="L38" s="63">
        <v>2.9449018628378436E-4</v>
      </c>
      <c r="M38" s="63">
        <v>1.7102312408978004E-3</v>
      </c>
      <c r="N38" s="63">
        <v>1.3529862918449143E-2</v>
      </c>
      <c r="O38" s="63">
        <v>2.968625202949719E-3</v>
      </c>
      <c r="P38" s="63">
        <v>7.667260773177466E-3</v>
      </c>
      <c r="Q38" s="63">
        <v>9.1498043128570574E-4</v>
      </c>
      <c r="R38" s="63">
        <v>3.6805479521413694E-3</v>
      </c>
      <c r="S38" s="63">
        <v>2.4866604870511341E-3</v>
      </c>
      <c r="T38" s="63">
        <v>3.5356993719671717E-3</v>
      </c>
      <c r="U38" s="63">
        <v>5.8567620889917087E-3</v>
      </c>
      <c r="V38" s="63">
        <v>3.6586966277002073E-4</v>
      </c>
      <c r="W38" s="63">
        <v>2.4795458881906396E-3</v>
      </c>
      <c r="X38" s="63">
        <v>4.079671421913348E-3</v>
      </c>
      <c r="Y38" s="63">
        <v>5.7026644189779093E-3</v>
      </c>
      <c r="Z38" s="63">
        <v>6.3819744071839535E-3</v>
      </c>
      <c r="AA38" s="63">
        <v>9.1378892663955182E-3</v>
      </c>
      <c r="AB38" s="63">
        <v>1.8429309718483217E-3</v>
      </c>
      <c r="AC38" s="63">
        <v>3.8822071295009919E-3</v>
      </c>
      <c r="AD38" s="63">
        <v>9.8298896391867934E-3</v>
      </c>
      <c r="AE38" s="63">
        <v>4.0714430304877522E-3</v>
      </c>
    </row>
    <row r="39" spans="1:32" x14ac:dyDescent="0.3">
      <c r="A39" t="s">
        <v>10</v>
      </c>
      <c r="B39" s="63">
        <v>1.5773862975043754E-3</v>
      </c>
      <c r="C39" s="63">
        <v>2.5412267089091191E-3</v>
      </c>
      <c r="D39" s="63">
        <v>2.5821472367638841E-2</v>
      </c>
      <c r="E39" s="63">
        <v>2.3347498285912404E-3</v>
      </c>
      <c r="F39" s="63">
        <v>1.9543325833054673E-3</v>
      </c>
      <c r="G39" s="63">
        <v>4.128573675366105E-3</v>
      </c>
      <c r="H39" s="63">
        <v>2.5645080185139335E-3</v>
      </c>
      <c r="I39" s="63">
        <v>3.5517028248358744E-3</v>
      </c>
      <c r="J39" s="63">
        <v>3.2619742653772999E-3</v>
      </c>
      <c r="K39" s="63">
        <v>2.3617947301490002E-3</v>
      </c>
      <c r="L39" s="63">
        <v>6.5466756212319331E-4</v>
      </c>
      <c r="M39" s="63">
        <v>-1.3163534939733437E-4</v>
      </c>
      <c r="N39" s="63">
        <v>2.1824655279877761E-3</v>
      </c>
      <c r="O39" s="63">
        <v>4.4006514598318325E-3</v>
      </c>
      <c r="P39" s="63">
        <v>3.8993783520661508E-3</v>
      </c>
      <c r="Q39" s="63">
        <v>1.3718704045986197E-3</v>
      </c>
      <c r="R39" s="63">
        <v>2.248716332040547E-3</v>
      </c>
      <c r="S39" s="63">
        <v>3.226059817276091E-4</v>
      </c>
      <c r="T39" s="63">
        <v>3.5574189684292861E-3</v>
      </c>
      <c r="U39" s="63">
        <v>3.5197411452386287E-3</v>
      </c>
      <c r="V39" s="63">
        <v>9.1615708699997788E-4</v>
      </c>
      <c r="W39" s="63">
        <v>2.383582057335847E-3</v>
      </c>
      <c r="X39" s="63">
        <v>2.1702026703433659E-3</v>
      </c>
      <c r="Y39" s="63">
        <v>3.4629976578599213E-3</v>
      </c>
      <c r="Z39" s="63">
        <v>2.1866615723753527E-3</v>
      </c>
      <c r="AA39" s="63">
        <v>4.9178305202009481E-3</v>
      </c>
      <c r="AB39" s="63">
        <v>9.6081333470328151E-4</v>
      </c>
      <c r="AC39" s="63">
        <v>1.2000365374160071E-3</v>
      </c>
      <c r="AD39" s="63">
        <v>6.5757909781266445E-3</v>
      </c>
      <c r="AE39" s="63">
        <v>1.6728491358270921E-3</v>
      </c>
    </row>
    <row r="40" spans="1:32" x14ac:dyDescent="0.3">
      <c r="A40" t="s">
        <v>43</v>
      </c>
      <c r="B40" s="63">
        <v>1.5190926538584532E-3</v>
      </c>
      <c r="C40" s="63">
        <v>3.4785782208721131E-3</v>
      </c>
      <c r="D40" s="63">
        <v>2.3347498285912404E-3</v>
      </c>
      <c r="E40" s="63">
        <v>5.4198518975310589E-3</v>
      </c>
      <c r="F40" s="63">
        <v>2.7913636742597538E-3</v>
      </c>
      <c r="G40" s="63">
        <v>3.1368533229061738E-3</v>
      </c>
      <c r="H40" s="63">
        <v>2.2860766675251438E-3</v>
      </c>
      <c r="I40" s="63">
        <v>3.6829759387857993E-3</v>
      </c>
      <c r="J40" s="63">
        <v>2.9171350824526709E-3</v>
      </c>
      <c r="K40" s="63">
        <v>3.0311710521386597E-3</v>
      </c>
      <c r="L40" s="63">
        <v>1.030969627483339E-3</v>
      </c>
      <c r="M40" s="63">
        <v>2.0944107622822262E-3</v>
      </c>
      <c r="N40" s="63">
        <v>3.5150389591823211E-3</v>
      </c>
      <c r="O40" s="63">
        <v>1.5691751825304421E-3</v>
      </c>
      <c r="P40" s="63">
        <v>5.2833279950362157E-3</v>
      </c>
      <c r="Q40" s="63">
        <v>1.3673909837570728E-3</v>
      </c>
      <c r="R40" s="63">
        <v>1.6598474114162232E-3</v>
      </c>
      <c r="S40" s="63">
        <v>2.1514188194490576E-3</v>
      </c>
      <c r="T40" s="63">
        <v>2.3283317584243965E-3</v>
      </c>
      <c r="U40" s="63">
        <v>2.8244740356994169E-3</v>
      </c>
      <c r="V40" s="63">
        <v>5.7732531805224823E-4</v>
      </c>
      <c r="W40" s="63">
        <v>3.1450387477968919E-3</v>
      </c>
      <c r="X40" s="63">
        <v>2.0817894334128162E-3</v>
      </c>
      <c r="Y40" s="63">
        <v>3.0891143466083063E-3</v>
      </c>
      <c r="Z40" s="63">
        <v>2.8444248987025507E-3</v>
      </c>
      <c r="AA40" s="63">
        <v>4.8142831983273814E-3</v>
      </c>
      <c r="AB40" s="63">
        <v>1.7458317327857494E-3</v>
      </c>
      <c r="AC40" s="63">
        <v>2.4646757360674873E-3</v>
      </c>
      <c r="AD40" s="63">
        <v>3.9696606660632617E-3</v>
      </c>
      <c r="AE40" s="63">
        <v>2.2365143836244402E-3</v>
      </c>
    </row>
    <row r="41" spans="1:32" x14ac:dyDescent="0.3">
      <c r="A41" t="s">
        <v>44</v>
      </c>
      <c r="B41" s="63">
        <v>1.5182306882013693E-3</v>
      </c>
      <c r="C41" s="63">
        <v>4.9539966858376935E-3</v>
      </c>
      <c r="D41" s="63">
        <v>1.9543325833054673E-3</v>
      </c>
      <c r="E41" s="63">
        <v>2.7913636742597538E-3</v>
      </c>
      <c r="F41" s="63">
        <v>4.8813158737581117E-3</v>
      </c>
      <c r="G41" s="63">
        <v>2.9339804014662202E-3</v>
      </c>
      <c r="H41" s="63">
        <v>2.9640783234690673E-3</v>
      </c>
      <c r="I41" s="63">
        <v>4.7428780224355593E-3</v>
      </c>
      <c r="J41" s="63">
        <v>3.6403168252736999E-3</v>
      </c>
      <c r="K41" s="63">
        <v>4.5033499921794673E-3</v>
      </c>
      <c r="L41" s="63">
        <v>-5.5070214372127731E-4</v>
      </c>
      <c r="M41" s="63">
        <v>1.8841198392042045E-3</v>
      </c>
      <c r="N41" s="63">
        <v>5.1135368155679692E-3</v>
      </c>
      <c r="O41" s="63">
        <v>2.4559210556413104E-3</v>
      </c>
      <c r="P41" s="63">
        <v>4.5334207755064072E-3</v>
      </c>
      <c r="Q41" s="63">
        <v>7.4079640794721578E-4</v>
      </c>
      <c r="R41" s="63">
        <v>1.6846551410446835E-3</v>
      </c>
      <c r="S41" s="63">
        <v>1.9882333282531233E-3</v>
      </c>
      <c r="T41" s="63">
        <v>1.7814822223195244E-3</v>
      </c>
      <c r="U41" s="63">
        <v>4.3933039776248017E-3</v>
      </c>
      <c r="V41" s="63">
        <v>6.699546072629581E-5</v>
      </c>
      <c r="W41" s="63">
        <v>2.1479629930577066E-3</v>
      </c>
      <c r="X41" s="63">
        <v>1.5724590754507776E-3</v>
      </c>
      <c r="Y41" s="63">
        <v>4.152081607538001E-3</v>
      </c>
      <c r="Z41" s="63">
        <v>4.3127698574231292E-3</v>
      </c>
      <c r="AA41" s="63">
        <v>6.0680443552748155E-3</v>
      </c>
      <c r="AB41" s="63">
        <v>1.4847253270266073E-3</v>
      </c>
      <c r="AC41" s="63">
        <v>3.7248298520269601E-3</v>
      </c>
      <c r="AD41" s="63">
        <v>6.0345769317669091E-3</v>
      </c>
      <c r="AE41" s="63">
        <v>3.843056397417386E-3</v>
      </c>
    </row>
    <row r="42" spans="1:32" x14ac:dyDescent="0.3">
      <c r="A42" t="s">
        <v>45</v>
      </c>
      <c r="B42" s="63">
        <v>2.0586571470224318E-3</v>
      </c>
      <c r="C42" s="63">
        <v>4.8339860711046788E-3</v>
      </c>
      <c r="D42" s="63">
        <v>4.128573675366105E-3</v>
      </c>
      <c r="E42" s="63">
        <v>3.1368533229061738E-3</v>
      </c>
      <c r="F42" s="63">
        <v>2.9339804014662202E-3</v>
      </c>
      <c r="G42" s="63">
        <v>4.9621197449548245E-3</v>
      </c>
      <c r="H42" s="63">
        <v>2.9044808318325079E-3</v>
      </c>
      <c r="I42" s="63">
        <v>4.8105567396949959E-3</v>
      </c>
      <c r="J42" s="63">
        <v>4.2057114478422E-3</v>
      </c>
      <c r="K42" s="63">
        <v>3.9577073238039944E-3</v>
      </c>
      <c r="L42" s="63">
        <v>7.1523791449765563E-4</v>
      </c>
      <c r="M42" s="63">
        <v>2.1002621178058387E-3</v>
      </c>
      <c r="N42" s="63">
        <v>4.7397527859387879E-3</v>
      </c>
      <c r="O42" s="63">
        <v>2.1061936129378703E-3</v>
      </c>
      <c r="P42" s="63">
        <v>5.4748744124329118E-3</v>
      </c>
      <c r="Q42" s="63">
        <v>1.256161736378448E-3</v>
      </c>
      <c r="R42" s="63">
        <v>2.0160278874046525E-3</v>
      </c>
      <c r="S42" s="63">
        <v>1.4585693144848818E-3</v>
      </c>
      <c r="T42" s="63">
        <v>2.1326924895178215E-3</v>
      </c>
      <c r="U42" s="63">
        <v>3.7813528018831965E-3</v>
      </c>
      <c r="V42" s="63">
        <v>9.4322029082712718E-4</v>
      </c>
      <c r="W42" s="63">
        <v>2.5906351181880869E-3</v>
      </c>
      <c r="X42" s="63">
        <v>1.7420497678581025E-3</v>
      </c>
      <c r="Y42" s="63">
        <v>3.7514856395148804E-3</v>
      </c>
      <c r="Z42" s="63">
        <v>4.1789886878068555E-3</v>
      </c>
      <c r="AA42" s="63">
        <v>6.0890993093112569E-3</v>
      </c>
      <c r="AB42" s="63">
        <v>1.4256780993732307E-3</v>
      </c>
      <c r="AC42" s="63">
        <v>2.6759469374499113E-3</v>
      </c>
      <c r="AD42" s="63">
        <v>5.6207532036572768E-3</v>
      </c>
      <c r="AE42" s="63">
        <v>2.3313656336295106E-3</v>
      </c>
    </row>
    <row r="43" spans="1:32" x14ac:dyDescent="0.3">
      <c r="A43" t="s">
        <v>46</v>
      </c>
      <c r="B43" s="63">
        <v>1.9196840423003074E-3</v>
      </c>
      <c r="C43" s="63">
        <v>4.1481214600672927E-3</v>
      </c>
      <c r="D43" s="63">
        <v>2.5645080185139335E-3</v>
      </c>
      <c r="E43" s="63">
        <v>2.2860766675251438E-3</v>
      </c>
      <c r="F43" s="63">
        <v>2.9640783234690673E-3</v>
      </c>
      <c r="G43" s="63">
        <v>2.9044808318325079E-3</v>
      </c>
      <c r="H43" s="63">
        <v>4.7671039173725407E-3</v>
      </c>
      <c r="I43" s="63">
        <v>4.6893406422343882E-3</v>
      </c>
      <c r="J43" s="63">
        <v>3.3938969228338531E-3</v>
      </c>
      <c r="K43" s="63">
        <v>4.2676554205163322E-3</v>
      </c>
      <c r="L43" s="63">
        <v>6.5378528522928511E-4</v>
      </c>
      <c r="M43" s="63">
        <v>1.5207326956925894E-3</v>
      </c>
      <c r="N43" s="63">
        <v>4.3116797684265851E-3</v>
      </c>
      <c r="O43" s="63">
        <v>2.2649638687050337E-3</v>
      </c>
      <c r="P43" s="63">
        <v>5.2442934546365373E-3</v>
      </c>
      <c r="Q43" s="63">
        <v>1.3282523437938068E-3</v>
      </c>
      <c r="R43" s="63">
        <v>1.8787506150263855E-3</v>
      </c>
      <c r="S43" s="63">
        <v>1.2838844712973539E-3</v>
      </c>
      <c r="T43" s="63">
        <v>1.8889522172047873E-3</v>
      </c>
      <c r="U43" s="63">
        <v>3.0641686413297848E-3</v>
      </c>
      <c r="V43" s="63">
        <v>6.5361274837922798E-4</v>
      </c>
      <c r="W43" s="63">
        <v>2.4117110190098648E-3</v>
      </c>
      <c r="X43" s="63">
        <v>1.5025559409206277E-3</v>
      </c>
      <c r="Y43" s="63">
        <v>3.6074959413396859E-3</v>
      </c>
      <c r="Z43" s="63">
        <v>3.2591024138710267E-3</v>
      </c>
      <c r="AA43" s="63">
        <v>6.1668034523249451E-3</v>
      </c>
      <c r="AB43" s="63">
        <v>1.5463198460653528E-3</v>
      </c>
      <c r="AC43" s="63">
        <v>2.1373962145003439E-3</v>
      </c>
      <c r="AD43" s="63">
        <v>4.1293042885421497E-3</v>
      </c>
      <c r="AE43" s="63">
        <v>2.5722249157352712E-3</v>
      </c>
    </row>
    <row r="44" spans="1:32" x14ac:dyDescent="0.3">
      <c r="A44" t="s">
        <v>47</v>
      </c>
      <c r="B44" s="63">
        <v>2.4210001271715259E-3</v>
      </c>
      <c r="C44" s="63">
        <v>7.9900484545273754E-3</v>
      </c>
      <c r="D44" s="63">
        <v>3.5517028248358744E-3</v>
      </c>
      <c r="E44" s="63">
        <v>3.6829759387857993E-3</v>
      </c>
      <c r="F44" s="63">
        <v>4.7428780224355593E-3</v>
      </c>
      <c r="G44" s="63">
        <v>4.8105567396949959E-3</v>
      </c>
      <c r="H44" s="63">
        <v>4.6893406422343882E-3</v>
      </c>
      <c r="I44" s="63">
        <v>9.0200465000047202E-3</v>
      </c>
      <c r="J44" s="63">
        <v>6.7286923323565144E-3</v>
      </c>
      <c r="K44" s="63">
        <v>7.2913462166003407E-3</v>
      </c>
      <c r="L44" s="63">
        <v>9.9692778201042722E-4</v>
      </c>
      <c r="M44" s="63">
        <v>2.504218685195311E-3</v>
      </c>
      <c r="N44" s="63">
        <v>8.247573489224622E-3</v>
      </c>
      <c r="O44" s="63">
        <v>3.3432447489845927E-3</v>
      </c>
      <c r="P44" s="63">
        <v>8.4181753990094765E-3</v>
      </c>
      <c r="Q44" s="63">
        <v>1.2334651992766438E-3</v>
      </c>
      <c r="R44" s="63">
        <v>2.9454354947826681E-3</v>
      </c>
      <c r="S44" s="63">
        <v>2.1007910609101357E-3</v>
      </c>
      <c r="T44" s="63">
        <v>2.3514714687813362E-3</v>
      </c>
      <c r="U44" s="63">
        <v>5.4325618721016728E-3</v>
      </c>
      <c r="V44" s="63">
        <v>4.8357813194424256E-4</v>
      </c>
      <c r="W44" s="63">
        <v>3.1293529022805547E-3</v>
      </c>
      <c r="X44" s="63">
        <v>2.2664922543573214E-3</v>
      </c>
      <c r="Y44" s="63">
        <v>5.9218241703404258E-3</v>
      </c>
      <c r="Z44" s="63">
        <v>7.3302384046999413E-3</v>
      </c>
      <c r="AA44" s="63">
        <v>9.5449616457973993E-3</v>
      </c>
      <c r="AB44" s="63">
        <v>2.4419870474809884E-3</v>
      </c>
      <c r="AC44" s="63">
        <v>4.0922765559085819E-3</v>
      </c>
      <c r="AD44" s="63">
        <v>8.1996098382163471E-3</v>
      </c>
      <c r="AE44" s="63">
        <v>3.9883344027427329E-3</v>
      </c>
    </row>
    <row r="45" spans="1:32" x14ac:dyDescent="0.3">
      <c r="A45" t="s">
        <v>12</v>
      </c>
      <c r="B45" s="63">
        <v>2.4293557087830221E-3</v>
      </c>
      <c r="C45" s="63">
        <v>5.957794365116992E-3</v>
      </c>
      <c r="D45" s="63">
        <v>3.2619742653772999E-3</v>
      </c>
      <c r="E45" s="63">
        <v>2.9171350824526709E-3</v>
      </c>
      <c r="F45" s="63">
        <v>3.6403168252736999E-3</v>
      </c>
      <c r="G45" s="63">
        <v>4.2057114478422E-3</v>
      </c>
      <c r="H45" s="63">
        <v>3.3938969228338531E-3</v>
      </c>
      <c r="I45" s="63">
        <v>6.7286923323565144E-3</v>
      </c>
      <c r="J45" s="63">
        <v>8.9095290724769821E-3</v>
      </c>
      <c r="K45" s="63">
        <v>5.7856621305237754E-3</v>
      </c>
      <c r="L45" s="63">
        <v>2.9910360835192363E-4</v>
      </c>
      <c r="M45" s="63">
        <v>2.432007903357054E-3</v>
      </c>
      <c r="N45" s="63">
        <v>6.2217190601028191E-3</v>
      </c>
      <c r="O45" s="63">
        <v>2.796609394293418E-3</v>
      </c>
      <c r="P45" s="63">
        <v>6.5066042804420264E-3</v>
      </c>
      <c r="Q45" s="63">
        <v>9.1959209453043838E-4</v>
      </c>
      <c r="R45" s="63">
        <v>2.6140605673320503E-3</v>
      </c>
      <c r="S45" s="63">
        <v>1.781831350892405E-3</v>
      </c>
      <c r="T45" s="63">
        <v>3.0430986503302989E-3</v>
      </c>
      <c r="U45" s="63">
        <v>5.2861214984274724E-3</v>
      </c>
      <c r="V45" s="63">
        <v>1.0389046466522409E-3</v>
      </c>
      <c r="W45" s="63">
        <v>3.0980845852455665E-3</v>
      </c>
      <c r="X45" s="63">
        <v>1.357927401447869E-3</v>
      </c>
      <c r="Y45" s="63">
        <v>5.0814341261584796E-3</v>
      </c>
      <c r="Z45" s="63">
        <v>6.9452665682849524E-3</v>
      </c>
      <c r="AA45" s="63">
        <v>1.0101437266593322E-2</v>
      </c>
      <c r="AB45" s="63">
        <v>2.4204257927906091E-3</v>
      </c>
      <c r="AC45" s="63">
        <v>3.2471699592072486E-3</v>
      </c>
      <c r="AD45" s="63">
        <v>7.2734508141150409E-3</v>
      </c>
      <c r="AE45" s="63">
        <v>2.8729765487115369E-3</v>
      </c>
    </row>
    <row r="46" spans="1:32" x14ac:dyDescent="0.3">
      <c r="A46" t="s">
        <v>48</v>
      </c>
      <c r="B46" s="63">
        <v>2.2922595760485848E-3</v>
      </c>
      <c r="C46" s="63">
        <v>7.4927508485761827E-3</v>
      </c>
      <c r="D46" s="63">
        <v>2.3617947301490002E-3</v>
      </c>
      <c r="E46" s="63">
        <v>3.0311710521386597E-3</v>
      </c>
      <c r="F46" s="63">
        <v>4.5033499921794673E-3</v>
      </c>
      <c r="G46" s="63">
        <v>3.9577073238039944E-3</v>
      </c>
      <c r="H46" s="63">
        <v>4.2676554205163322E-3</v>
      </c>
      <c r="I46" s="63">
        <v>7.2913462166003407E-3</v>
      </c>
      <c r="J46" s="63">
        <v>5.7856621305237754E-3</v>
      </c>
      <c r="K46" s="63">
        <v>7.5997002586492262E-3</v>
      </c>
      <c r="L46" s="63">
        <v>-7.9846779931642999E-6</v>
      </c>
      <c r="M46" s="63">
        <v>2.0788441101623305E-3</v>
      </c>
      <c r="N46" s="63">
        <v>7.3985019029447017E-3</v>
      </c>
      <c r="O46" s="63">
        <v>2.9327041478962126E-3</v>
      </c>
      <c r="P46" s="63">
        <v>6.8673304735182468E-3</v>
      </c>
      <c r="Q46" s="63">
        <v>8.5923951953882052E-4</v>
      </c>
      <c r="R46" s="63">
        <v>2.5760837784874527E-3</v>
      </c>
      <c r="S46" s="63">
        <v>1.7594147884001912E-3</v>
      </c>
      <c r="T46" s="63">
        <v>1.7408268119949489E-3</v>
      </c>
      <c r="U46" s="63">
        <v>4.4139992540125827E-3</v>
      </c>
      <c r="V46" s="63">
        <v>4.4372076386075079E-4</v>
      </c>
      <c r="W46" s="63">
        <v>2.607118829770062E-3</v>
      </c>
      <c r="X46" s="63">
        <v>1.8723169695680584E-3</v>
      </c>
      <c r="Y46" s="63">
        <v>5.2553467810551096E-3</v>
      </c>
      <c r="Z46" s="63">
        <v>5.97724779836216E-3</v>
      </c>
      <c r="AA46" s="63">
        <v>7.47245834343739E-3</v>
      </c>
      <c r="AB46" s="63">
        <v>1.7451344782734191E-3</v>
      </c>
      <c r="AC46" s="63">
        <v>3.5296212393389585E-3</v>
      </c>
      <c r="AD46" s="63">
        <v>6.6485223847282809E-3</v>
      </c>
      <c r="AE46" s="63">
        <v>3.5670421177579005E-3</v>
      </c>
    </row>
    <row r="47" spans="1:32" x14ac:dyDescent="0.3">
      <c r="A47" t="s">
        <v>11</v>
      </c>
      <c r="B47" s="63">
        <v>1.0913961810643039E-4</v>
      </c>
      <c r="C47" s="63">
        <v>2.9449018628378436E-4</v>
      </c>
      <c r="D47" s="63">
        <v>6.5466756212319331E-4</v>
      </c>
      <c r="E47" s="63">
        <v>1.030969627483339E-3</v>
      </c>
      <c r="F47" s="63">
        <v>-5.5070214372127731E-4</v>
      </c>
      <c r="G47" s="63">
        <v>7.1523791449765563E-4</v>
      </c>
      <c r="H47" s="63">
        <v>6.5378528522928511E-4</v>
      </c>
      <c r="I47" s="63">
        <v>9.9692778201042722E-4</v>
      </c>
      <c r="J47" s="63">
        <v>2.9910360835192363E-4</v>
      </c>
      <c r="K47" s="63">
        <v>-7.9846779931642999E-6</v>
      </c>
      <c r="L47" s="63">
        <v>6.8071706223236331E-3</v>
      </c>
      <c r="M47" s="63">
        <v>5.9920612659697945E-4</v>
      </c>
      <c r="N47" s="63">
        <v>1.3606919572551661E-4</v>
      </c>
      <c r="O47" s="63">
        <v>9.1181919118716107E-4</v>
      </c>
      <c r="P47" s="63">
        <v>2.4673860554914199E-3</v>
      </c>
      <c r="Q47" s="63">
        <v>4.6821171399265575E-4</v>
      </c>
      <c r="R47" s="63">
        <v>1.0946850438657988E-3</v>
      </c>
      <c r="S47" s="63">
        <v>3.9425266804311415E-4</v>
      </c>
      <c r="T47" s="63">
        <v>1.4525177412502367E-3</v>
      </c>
      <c r="U47" s="63">
        <v>2.1147813110168354E-4</v>
      </c>
      <c r="V47" s="63">
        <v>6.3345055165224323E-4</v>
      </c>
      <c r="W47" s="63">
        <v>1.5641899231816977E-3</v>
      </c>
      <c r="X47" s="63">
        <v>7.9161824507771193E-4</v>
      </c>
      <c r="Y47" s="63">
        <v>-1.6543932340645803E-4</v>
      </c>
      <c r="Z47" s="63">
        <v>5.3610085630297413E-4</v>
      </c>
      <c r="AA47" s="63">
        <v>7.32360345164446E-4</v>
      </c>
      <c r="AB47" s="63">
        <v>5.3308099379059241E-5</v>
      </c>
      <c r="AC47" s="63">
        <v>-1.9414786655893706E-4</v>
      </c>
      <c r="AD47" s="63">
        <v>1.364033267883327E-3</v>
      </c>
      <c r="AE47" s="63">
        <v>-1.7422386638884697E-4</v>
      </c>
    </row>
    <row r="48" spans="1:32" x14ac:dyDescent="0.3">
      <c r="A48" t="s">
        <v>13</v>
      </c>
      <c r="B48" s="63">
        <v>1.4249379956879835E-3</v>
      </c>
      <c r="C48" s="63">
        <v>1.7102312408978004E-3</v>
      </c>
      <c r="D48" s="63">
        <v>-1.3163534939733437E-4</v>
      </c>
      <c r="E48" s="63">
        <v>2.0944107622822262E-3</v>
      </c>
      <c r="F48" s="63">
        <v>1.8841198392042045E-3</v>
      </c>
      <c r="G48" s="63">
        <v>2.1002621178058387E-3</v>
      </c>
      <c r="H48" s="63">
        <v>1.5207326956925894E-3</v>
      </c>
      <c r="I48" s="63">
        <v>2.504218685195311E-3</v>
      </c>
      <c r="J48" s="63">
        <v>2.432007903357054E-3</v>
      </c>
      <c r="K48" s="63">
        <v>2.0788441101623305E-3</v>
      </c>
      <c r="L48" s="63">
        <v>5.9920612659697945E-4</v>
      </c>
      <c r="M48" s="63">
        <v>5.5403235477444347E-3</v>
      </c>
      <c r="N48" s="63">
        <v>1.984371262962535E-3</v>
      </c>
      <c r="O48" s="63">
        <v>1.4381192708695114E-3</v>
      </c>
      <c r="P48" s="63">
        <v>3.1741946104171508E-3</v>
      </c>
      <c r="Q48" s="63">
        <v>1.5428929525017777E-3</v>
      </c>
      <c r="R48" s="63">
        <v>1.1817881621429547E-3</v>
      </c>
      <c r="S48" s="63">
        <v>1.1581105256286452E-3</v>
      </c>
      <c r="T48" s="63">
        <v>2.5763689999021453E-3</v>
      </c>
      <c r="U48" s="63">
        <v>3.4229565698009798E-3</v>
      </c>
      <c r="V48" s="63">
        <v>1.1693402275278061E-3</v>
      </c>
      <c r="W48" s="63">
        <v>1.4423513431174255E-3</v>
      </c>
      <c r="X48" s="63">
        <v>9.2414605387061872E-4</v>
      </c>
      <c r="Y48" s="63">
        <v>2.4335330278885841E-3</v>
      </c>
      <c r="Z48" s="63">
        <v>3.1748469422523099E-3</v>
      </c>
      <c r="AA48" s="63">
        <v>5.6740114408066469E-3</v>
      </c>
      <c r="AB48" s="63">
        <v>2.5594237623329276E-3</v>
      </c>
      <c r="AC48" s="63">
        <v>1.9187205928992974E-3</v>
      </c>
      <c r="AD48" s="63">
        <v>3.1953062542965011E-3</v>
      </c>
      <c r="AE48" s="63">
        <v>2.0298015012944434E-3</v>
      </c>
    </row>
    <row r="49" spans="1:31" x14ac:dyDescent="0.3">
      <c r="A49" t="s">
        <v>49</v>
      </c>
      <c r="B49" s="63">
        <v>2.6041557088850851E-3</v>
      </c>
      <c r="C49" s="63">
        <v>1.3529862918449143E-2</v>
      </c>
      <c r="D49" s="63">
        <v>2.1824655279877761E-3</v>
      </c>
      <c r="E49" s="63">
        <v>3.5150389591823211E-3</v>
      </c>
      <c r="F49" s="63">
        <v>5.1135368155679692E-3</v>
      </c>
      <c r="G49" s="63">
        <v>4.7397527859387879E-3</v>
      </c>
      <c r="H49" s="63">
        <v>4.3116797684265851E-3</v>
      </c>
      <c r="I49" s="63">
        <v>8.247573489224622E-3</v>
      </c>
      <c r="J49" s="63">
        <v>6.2217190601028191E-3</v>
      </c>
      <c r="K49" s="63">
        <v>7.3985019029447017E-3</v>
      </c>
      <c r="L49" s="63">
        <v>1.3606919572551661E-4</v>
      </c>
      <c r="M49" s="63">
        <v>1.984371262962535E-3</v>
      </c>
      <c r="N49" s="63">
        <v>1.3239817835991196E-2</v>
      </c>
      <c r="O49" s="63">
        <v>2.8663144892335569E-3</v>
      </c>
      <c r="P49" s="63">
        <v>7.4562876275936574E-3</v>
      </c>
      <c r="Q49" s="63">
        <v>1.1942598397626527E-3</v>
      </c>
      <c r="R49" s="63">
        <v>3.3733384939659233E-3</v>
      </c>
      <c r="S49" s="63">
        <v>2.5994978103856263E-3</v>
      </c>
      <c r="T49" s="63">
        <v>3.8336732478234455E-3</v>
      </c>
      <c r="U49" s="63">
        <v>6.0660657247355032E-3</v>
      </c>
      <c r="V49" s="63">
        <v>4.2265971299996845E-4</v>
      </c>
      <c r="W49" s="63">
        <v>2.7390410031274256E-3</v>
      </c>
      <c r="X49" s="63">
        <v>3.8898734855652571E-3</v>
      </c>
      <c r="Y49" s="63">
        <v>5.8259637419216534E-3</v>
      </c>
      <c r="Z49" s="63">
        <v>6.5849640930353021E-3</v>
      </c>
      <c r="AA49" s="63">
        <v>9.916240560862731E-3</v>
      </c>
      <c r="AB49" s="63">
        <v>1.9567430279687588E-3</v>
      </c>
      <c r="AC49" s="63">
        <v>4.0589330120773051E-3</v>
      </c>
      <c r="AD49" s="63">
        <v>9.7287475102999978E-3</v>
      </c>
      <c r="AE49" s="63">
        <v>4.417252691005142E-3</v>
      </c>
    </row>
    <row r="50" spans="1:31" x14ac:dyDescent="0.3">
      <c r="A50" t="s">
        <v>14</v>
      </c>
      <c r="B50" s="63">
        <v>3.5469406216989972E-4</v>
      </c>
      <c r="C50" s="63">
        <v>2.968625202949719E-3</v>
      </c>
      <c r="D50" s="63">
        <v>4.4006514598318325E-3</v>
      </c>
      <c r="E50" s="63">
        <v>1.5691751825304421E-3</v>
      </c>
      <c r="F50" s="63">
        <v>2.4559210556413104E-3</v>
      </c>
      <c r="G50" s="63">
        <v>2.1061936129378703E-3</v>
      </c>
      <c r="H50" s="63">
        <v>2.2649638687050337E-3</v>
      </c>
      <c r="I50" s="63">
        <v>3.3432447489845927E-3</v>
      </c>
      <c r="J50" s="63">
        <v>2.796609394293418E-3</v>
      </c>
      <c r="K50" s="63">
        <v>2.9327041478962126E-3</v>
      </c>
      <c r="L50" s="63">
        <v>9.1181919118716107E-4</v>
      </c>
      <c r="M50" s="63">
        <v>1.4381192708695114E-3</v>
      </c>
      <c r="N50" s="63">
        <v>2.8663144892335569E-3</v>
      </c>
      <c r="O50" s="63">
        <v>9.5449097792667924E-3</v>
      </c>
      <c r="P50" s="63">
        <v>3.5109375163572599E-3</v>
      </c>
      <c r="Q50" s="63">
        <v>7.3399962082955513E-4</v>
      </c>
      <c r="R50" s="63">
        <v>9.9650457611702306E-4</v>
      </c>
      <c r="S50" s="63">
        <v>1.6261601038383665E-3</v>
      </c>
      <c r="T50" s="63">
        <v>1.5213014232857204E-3</v>
      </c>
      <c r="U50" s="63">
        <v>2.6268597763200252E-3</v>
      </c>
      <c r="V50" s="63">
        <v>4.3080250768179589E-4</v>
      </c>
      <c r="W50" s="63">
        <v>2.4280857864644079E-3</v>
      </c>
      <c r="X50" s="63">
        <v>5.9247078761677941E-4</v>
      </c>
      <c r="Y50" s="63">
        <v>2.6978319876377523E-3</v>
      </c>
      <c r="Z50" s="63">
        <v>3.8927745877437949E-3</v>
      </c>
      <c r="AA50" s="63">
        <v>5.6212203663312558E-3</v>
      </c>
      <c r="AB50" s="63">
        <v>4.0846774786940268E-5</v>
      </c>
      <c r="AC50" s="63">
        <v>1.8860732537281846E-3</v>
      </c>
      <c r="AD50" s="63">
        <v>3.4699044142861403E-3</v>
      </c>
      <c r="AE50" s="63">
        <v>1.9538420122091745E-3</v>
      </c>
    </row>
    <row r="51" spans="1:31" x14ac:dyDescent="0.3">
      <c r="A51" t="s">
        <v>17</v>
      </c>
      <c r="B51" s="63">
        <v>2.6439514949065804E-3</v>
      </c>
      <c r="C51" s="63">
        <v>7.667260773177466E-3</v>
      </c>
      <c r="D51" s="63">
        <v>3.8993783520661508E-3</v>
      </c>
      <c r="E51" s="63">
        <v>5.2833279950362157E-3</v>
      </c>
      <c r="F51" s="63">
        <v>4.5334207755064072E-3</v>
      </c>
      <c r="G51" s="63">
        <v>5.4748744124329118E-3</v>
      </c>
      <c r="H51" s="63">
        <v>5.2442934546365373E-3</v>
      </c>
      <c r="I51" s="63">
        <v>8.4181753990094765E-3</v>
      </c>
      <c r="J51" s="63">
        <v>6.5066042804420264E-3</v>
      </c>
      <c r="K51" s="63">
        <v>6.8673304735182468E-3</v>
      </c>
      <c r="L51" s="63">
        <v>2.4673860554914199E-3</v>
      </c>
      <c r="M51" s="63">
        <v>3.1741946104171508E-3</v>
      </c>
      <c r="N51" s="63">
        <v>7.4562876275936574E-3</v>
      </c>
      <c r="O51" s="63">
        <v>3.5109375163572599E-3</v>
      </c>
      <c r="P51" s="63">
        <v>1.8165350207832196E-2</v>
      </c>
      <c r="Q51" s="63">
        <v>9.5048819579589402E-4</v>
      </c>
      <c r="R51" s="63">
        <v>4.0015712546615052E-3</v>
      </c>
      <c r="S51" s="63">
        <v>2.5378629332827272E-3</v>
      </c>
      <c r="T51" s="63">
        <v>3.5071111909898019E-3</v>
      </c>
      <c r="U51" s="63">
        <v>5.9337857576132877E-3</v>
      </c>
      <c r="V51" s="63">
        <v>5.1917901212123353E-4</v>
      </c>
      <c r="W51" s="63">
        <v>4.368598343219403E-3</v>
      </c>
      <c r="X51" s="63">
        <v>3.6029111530989553E-3</v>
      </c>
      <c r="Y51" s="63">
        <v>6.4703172983487768E-3</v>
      </c>
      <c r="Z51" s="63">
        <v>7.308237407426782E-3</v>
      </c>
      <c r="AA51" s="63">
        <v>9.5505128961767324E-3</v>
      </c>
      <c r="AB51" s="63">
        <v>4.7585275602122831E-3</v>
      </c>
      <c r="AC51" s="63">
        <v>3.4943235420989206E-3</v>
      </c>
      <c r="AD51" s="63">
        <v>8.5937677856264515E-3</v>
      </c>
      <c r="AE51" s="63">
        <v>3.5533356355167008E-3</v>
      </c>
    </row>
    <row r="52" spans="1:31" x14ac:dyDescent="0.3">
      <c r="A52" t="s">
        <v>50</v>
      </c>
      <c r="B52" s="63">
        <v>9.5663911842571098E-4</v>
      </c>
      <c r="C52" s="63">
        <v>9.1498043128570574E-4</v>
      </c>
      <c r="D52" s="63">
        <v>1.3718704045986197E-3</v>
      </c>
      <c r="E52" s="63">
        <v>1.3673909837570728E-3</v>
      </c>
      <c r="F52" s="63">
        <v>7.4079640794721578E-4</v>
      </c>
      <c r="G52" s="63">
        <v>1.256161736378448E-3</v>
      </c>
      <c r="H52" s="63">
        <v>1.3282523437938068E-3</v>
      </c>
      <c r="I52" s="63">
        <v>1.2334651992766438E-3</v>
      </c>
      <c r="J52" s="63">
        <v>9.1959209453043838E-4</v>
      </c>
      <c r="K52" s="63">
        <v>8.5923951953882052E-4</v>
      </c>
      <c r="L52" s="63">
        <v>4.6821171399265575E-4</v>
      </c>
      <c r="M52" s="63">
        <v>1.5428929525017777E-3</v>
      </c>
      <c r="N52" s="63">
        <v>1.1942598397626527E-3</v>
      </c>
      <c r="O52" s="63">
        <v>7.3399962082955513E-4</v>
      </c>
      <c r="P52" s="63">
        <v>9.5048819579589402E-4</v>
      </c>
      <c r="Q52" s="63">
        <v>3.1663608432768893E-3</v>
      </c>
      <c r="R52" s="63">
        <v>7.2349058388231752E-4</v>
      </c>
      <c r="S52" s="63">
        <v>1.3074073553437551E-3</v>
      </c>
      <c r="T52" s="63">
        <v>2.6767986992444356E-3</v>
      </c>
      <c r="U52" s="63">
        <v>2.1498946558537522E-3</v>
      </c>
      <c r="V52" s="63">
        <v>2.666461224297448E-3</v>
      </c>
      <c r="W52" s="63">
        <v>1.4583967615928691E-3</v>
      </c>
      <c r="X52" s="63">
        <v>1.5320571364968905E-3</v>
      </c>
      <c r="Y52" s="63">
        <v>7.6458159160457801E-4</v>
      </c>
      <c r="Z52" s="63">
        <v>1.0907007444992472E-3</v>
      </c>
      <c r="AA52" s="63">
        <v>2.6409200706091563E-3</v>
      </c>
      <c r="AB52" s="63">
        <v>1.5092846948161671E-3</v>
      </c>
      <c r="AC52" s="63">
        <v>1.1267013387991495E-3</v>
      </c>
      <c r="AD52" s="63">
        <v>1.1688517431267371E-3</v>
      </c>
      <c r="AE52" s="63">
        <v>1.0670574801908868E-3</v>
      </c>
    </row>
    <row r="53" spans="1:31" x14ac:dyDescent="0.3">
      <c r="A53" t="s">
        <v>51</v>
      </c>
      <c r="B53" s="63">
        <v>1.7106890543973508E-3</v>
      </c>
      <c r="C53" s="63">
        <v>3.6805479521413694E-3</v>
      </c>
      <c r="D53" s="63">
        <v>2.248716332040547E-3</v>
      </c>
      <c r="E53" s="63">
        <v>1.6598474114162232E-3</v>
      </c>
      <c r="F53" s="63">
        <v>1.6846551410446835E-3</v>
      </c>
      <c r="G53" s="63">
        <v>2.0160278874046525E-3</v>
      </c>
      <c r="H53" s="63">
        <v>1.8787506150263855E-3</v>
      </c>
      <c r="I53" s="63">
        <v>2.9454354947826681E-3</v>
      </c>
      <c r="J53" s="63">
        <v>2.6140605673320503E-3</v>
      </c>
      <c r="K53" s="63">
        <v>2.5760837784874527E-3</v>
      </c>
      <c r="L53" s="63">
        <v>1.0946850438657988E-3</v>
      </c>
      <c r="M53" s="63">
        <v>1.1817881621429547E-3</v>
      </c>
      <c r="N53" s="63">
        <v>3.3733384939659233E-3</v>
      </c>
      <c r="O53" s="63">
        <v>9.9650457611702306E-4</v>
      </c>
      <c r="P53" s="63">
        <v>4.0015712546615052E-3</v>
      </c>
      <c r="Q53" s="63">
        <v>7.2349058388231752E-4</v>
      </c>
      <c r="R53" s="63">
        <v>3.938368401358641E-3</v>
      </c>
      <c r="S53" s="63">
        <v>1.2550773916673995E-3</v>
      </c>
      <c r="T53" s="63">
        <v>2.136031324929415E-3</v>
      </c>
      <c r="U53" s="63">
        <v>2.9773394096317186E-3</v>
      </c>
      <c r="V53" s="63">
        <v>6.8672448205785316E-4</v>
      </c>
      <c r="W53" s="63">
        <v>1.9092317195090231E-3</v>
      </c>
      <c r="X53" s="63">
        <v>1.5394907132375291E-3</v>
      </c>
      <c r="Y53" s="63">
        <v>2.246363345544798E-3</v>
      </c>
      <c r="Z53" s="63">
        <v>2.2076070109520009E-3</v>
      </c>
      <c r="AA53" s="63">
        <v>3.4135789223413088E-3</v>
      </c>
      <c r="AB53" s="63">
        <v>1.7709192772974896E-3</v>
      </c>
      <c r="AC53" s="63">
        <v>1.4424001746347621E-3</v>
      </c>
      <c r="AD53" s="63">
        <v>3.6490151467188409E-3</v>
      </c>
      <c r="AE53" s="63">
        <v>1.1019884486609215E-3</v>
      </c>
    </row>
    <row r="54" spans="1:31" x14ac:dyDescent="0.3">
      <c r="A54" t="s">
        <v>52</v>
      </c>
      <c r="B54" s="63">
        <v>7.5069491414041809E-4</v>
      </c>
      <c r="C54" s="63">
        <v>2.4866604870511341E-3</v>
      </c>
      <c r="D54" s="63">
        <v>3.226059817276091E-4</v>
      </c>
      <c r="E54" s="63">
        <v>2.1514188194490576E-3</v>
      </c>
      <c r="F54" s="63">
        <v>1.9882333282531233E-3</v>
      </c>
      <c r="G54" s="63">
        <v>1.4585693144848818E-3</v>
      </c>
      <c r="H54" s="63">
        <v>1.2838844712973539E-3</v>
      </c>
      <c r="I54" s="63">
        <v>2.1007910609101357E-3</v>
      </c>
      <c r="J54" s="63">
        <v>1.781831350892405E-3</v>
      </c>
      <c r="K54" s="63">
        <v>1.7594147884001912E-3</v>
      </c>
      <c r="L54" s="63">
        <v>3.9425266804311415E-4</v>
      </c>
      <c r="M54" s="63">
        <v>1.1581105256286452E-3</v>
      </c>
      <c r="N54" s="63">
        <v>2.5994978103856263E-3</v>
      </c>
      <c r="O54" s="63">
        <v>1.6261601038383665E-3</v>
      </c>
      <c r="P54" s="63">
        <v>2.5378629332827272E-3</v>
      </c>
      <c r="Q54" s="63">
        <v>1.3074073553437551E-3</v>
      </c>
      <c r="R54" s="63">
        <v>1.2550773916673995E-3</v>
      </c>
      <c r="S54" s="63">
        <v>2.9217116030641221E-3</v>
      </c>
      <c r="T54" s="63">
        <v>1.5047797555727143E-3</v>
      </c>
      <c r="U54" s="63">
        <v>2.4581260570050696E-3</v>
      </c>
      <c r="V54" s="63">
        <v>8.2752979072917249E-4</v>
      </c>
      <c r="W54" s="63">
        <v>1.9202569084776344E-3</v>
      </c>
      <c r="X54" s="63">
        <v>1.2609179485031073E-3</v>
      </c>
      <c r="Y54" s="63">
        <v>1.5964286575237427E-3</v>
      </c>
      <c r="Z54" s="63">
        <v>2.0593967819088742E-3</v>
      </c>
      <c r="AA54" s="63">
        <v>3.3599849397208921E-3</v>
      </c>
      <c r="AB54" s="63">
        <v>1.9828600022248162E-3</v>
      </c>
      <c r="AC54" s="63">
        <v>1.799994526404607E-3</v>
      </c>
      <c r="AD54" s="63">
        <v>2.9647709316486309E-3</v>
      </c>
      <c r="AE54" s="63">
        <v>2.0597365548397223E-3</v>
      </c>
    </row>
    <row r="55" spans="1:31" x14ac:dyDescent="0.3">
      <c r="A55" t="s">
        <v>53</v>
      </c>
      <c r="B55" s="63">
        <v>2.3600057710029226E-3</v>
      </c>
      <c r="C55" s="63">
        <v>3.5356993719671717E-3</v>
      </c>
      <c r="D55" s="63">
        <v>3.5574189684292861E-3</v>
      </c>
      <c r="E55" s="63">
        <v>2.3283317584243965E-3</v>
      </c>
      <c r="F55" s="63">
        <v>1.7814822223195244E-3</v>
      </c>
      <c r="G55" s="63">
        <v>2.1326924895178215E-3</v>
      </c>
      <c r="H55" s="63">
        <v>1.8889522172047873E-3</v>
      </c>
      <c r="I55" s="63">
        <v>2.3514714687813362E-3</v>
      </c>
      <c r="J55" s="63">
        <v>3.0430986503302989E-3</v>
      </c>
      <c r="K55" s="63">
        <v>1.7408268119949489E-3</v>
      </c>
      <c r="L55" s="63">
        <v>1.4525177412502367E-3</v>
      </c>
      <c r="M55" s="63">
        <v>2.5763689999021453E-3</v>
      </c>
      <c r="N55" s="63">
        <v>3.8336732478234455E-3</v>
      </c>
      <c r="O55" s="63">
        <v>1.5213014232857204E-3</v>
      </c>
      <c r="P55" s="63">
        <v>3.5071111909898019E-3</v>
      </c>
      <c r="Q55" s="63">
        <v>2.6767986992444356E-3</v>
      </c>
      <c r="R55" s="63">
        <v>2.136031324929415E-3</v>
      </c>
      <c r="S55" s="63">
        <v>1.5047797555727143E-3</v>
      </c>
      <c r="T55" s="63">
        <v>1.2888134866958506E-2</v>
      </c>
      <c r="U55" s="63">
        <v>3.4395232916836602E-3</v>
      </c>
      <c r="V55" s="63">
        <v>2.2450227329039638E-3</v>
      </c>
      <c r="W55" s="63">
        <v>3.011629779659142E-3</v>
      </c>
      <c r="X55" s="63">
        <v>6.1282675731933623E-3</v>
      </c>
      <c r="Y55" s="63">
        <v>2.0081343310658839E-3</v>
      </c>
      <c r="Z55" s="63">
        <v>2.5387215223536754E-3</v>
      </c>
      <c r="AA55" s="63">
        <v>4.8526969615829869E-3</v>
      </c>
      <c r="AB55" s="63">
        <v>1.5732357858247062E-3</v>
      </c>
      <c r="AC55" s="63">
        <v>1.1693750823786508E-3</v>
      </c>
      <c r="AD55" s="63">
        <v>4.4933947567624899E-3</v>
      </c>
      <c r="AE55" s="63">
        <v>1.5867521630024619E-3</v>
      </c>
    </row>
    <row r="56" spans="1:31" x14ac:dyDescent="0.3">
      <c r="A56" t="s">
        <v>15</v>
      </c>
      <c r="B56" s="63">
        <v>1.9746867900729162E-3</v>
      </c>
      <c r="C56" s="63">
        <v>5.8567620889917087E-3</v>
      </c>
      <c r="D56" s="63">
        <v>3.5197411452386287E-3</v>
      </c>
      <c r="E56" s="63">
        <v>2.8244740356994169E-3</v>
      </c>
      <c r="F56" s="63">
        <v>4.3933039776248017E-3</v>
      </c>
      <c r="G56" s="63">
        <v>3.7813528018831965E-3</v>
      </c>
      <c r="H56" s="63">
        <v>3.0641686413297848E-3</v>
      </c>
      <c r="I56" s="63">
        <v>5.4325618721016728E-3</v>
      </c>
      <c r="J56" s="63">
        <v>5.2861214984274724E-3</v>
      </c>
      <c r="K56" s="63">
        <v>4.4139992540125827E-3</v>
      </c>
      <c r="L56" s="63">
        <v>2.1147813110168354E-4</v>
      </c>
      <c r="M56" s="63">
        <v>3.4229565698009798E-3</v>
      </c>
      <c r="N56" s="63">
        <v>6.0660657247355032E-3</v>
      </c>
      <c r="O56" s="63">
        <v>2.6268597763200252E-3</v>
      </c>
      <c r="P56" s="63">
        <v>5.9337857576132877E-3</v>
      </c>
      <c r="Q56" s="63">
        <v>2.1498946558537522E-3</v>
      </c>
      <c r="R56" s="63">
        <v>2.9773394096317186E-3</v>
      </c>
      <c r="S56" s="63">
        <v>2.4581260570050696E-3</v>
      </c>
      <c r="T56" s="63">
        <v>3.4395232916836602E-3</v>
      </c>
      <c r="U56" s="63">
        <v>9.4303389923153166E-3</v>
      </c>
      <c r="V56" s="63">
        <v>1.0815715321988073E-3</v>
      </c>
      <c r="W56" s="63">
        <v>2.9038671774632156E-3</v>
      </c>
      <c r="X56" s="63">
        <v>2.1075608953974199E-3</v>
      </c>
      <c r="Y56" s="63">
        <v>4.6770011115462298E-3</v>
      </c>
      <c r="Z56" s="63">
        <v>5.8290088539069132E-3</v>
      </c>
      <c r="AA56" s="63">
        <v>9.2204128091659694E-3</v>
      </c>
      <c r="AB56" s="63">
        <v>4.2628225954180546E-3</v>
      </c>
      <c r="AC56" s="63">
        <v>3.9106853215895498E-3</v>
      </c>
      <c r="AD56" s="63">
        <v>8.09599442702553E-3</v>
      </c>
      <c r="AE56" s="63">
        <v>4.0311611390987882E-3</v>
      </c>
    </row>
    <row r="57" spans="1:31" x14ac:dyDescent="0.3">
      <c r="A57" t="s">
        <v>54</v>
      </c>
      <c r="B57" s="63">
        <v>6.9123639118671162E-4</v>
      </c>
      <c r="C57" s="63">
        <v>3.6586966277002073E-4</v>
      </c>
      <c r="D57" s="63">
        <v>9.1615708699997788E-4</v>
      </c>
      <c r="E57" s="63">
        <v>5.7732531805224823E-4</v>
      </c>
      <c r="F57" s="63">
        <v>6.699546072629581E-5</v>
      </c>
      <c r="G57" s="63">
        <v>9.4322029082712718E-4</v>
      </c>
      <c r="H57" s="63">
        <v>6.5361274837922798E-4</v>
      </c>
      <c r="I57" s="63">
        <v>4.8357813194424256E-4</v>
      </c>
      <c r="J57" s="63">
        <v>1.0389046466522409E-3</v>
      </c>
      <c r="K57" s="63">
        <v>4.4372076386075079E-4</v>
      </c>
      <c r="L57" s="63">
        <v>6.3345055165224323E-4</v>
      </c>
      <c r="M57" s="63">
        <v>1.1693402275278061E-3</v>
      </c>
      <c r="N57" s="63">
        <v>4.2265971299996845E-4</v>
      </c>
      <c r="O57" s="63">
        <v>4.3080250768179589E-4</v>
      </c>
      <c r="P57" s="63">
        <v>5.1917901212123353E-4</v>
      </c>
      <c r="Q57" s="63">
        <v>2.666461224297448E-3</v>
      </c>
      <c r="R57" s="63">
        <v>6.8672448205785316E-4</v>
      </c>
      <c r="S57" s="63">
        <v>8.2752979072917249E-4</v>
      </c>
      <c r="T57" s="63">
        <v>2.2450227329039638E-3</v>
      </c>
      <c r="U57" s="63">
        <v>1.0815715321988073E-3</v>
      </c>
      <c r="V57" s="63">
        <v>3.6183920007446723E-3</v>
      </c>
      <c r="W57" s="63">
        <v>8.9614116328063352E-4</v>
      </c>
      <c r="X57" s="63">
        <v>1.1718918157301195E-3</v>
      </c>
      <c r="Y57" s="63">
        <v>4.170572621284721E-5</v>
      </c>
      <c r="Z57" s="63">
        <v>7.4693325834822115E-4</v>
      </c>
      <c r="AA57" s="63">
        <v>1.4981300761684995E-3</v>
      </c>
      <c r="AB57" s="63">
        <v>1.0581443212937024E-3</v>
      </c>
      <c r="AC57" s="63">
        <v>5.6210738185387236E-4</v>
      </c>
      <c r="AD57" s="63">
        <v>8.7168276341616127E-4</v>
      </c>
      <c r="AE57" s="63">
        <v>3.9533756765283229E-4</v>
      </c>
    </row>
    <row r="58" spans="1:31" x14ac:dyDescent="0.3">
      <c r="A58" t="s">
        <v>55</v>
      </c>
      <c r="B58" s="63">
        <v>1.8120435642693046E-3</v>
      </c>
      <c r="C58" s="63">
        <v>2.4795458881906396E-3</v>
      </c>
      <c r="D58" s="63">
        <v>2.383582057335847E-3</v>
      </c>
      <c r="E58" s="63">
        <v>3.1450387477968919E-3</v>
      </c>
      <c r="F58" s="63">
        <v>2.1479629930577066E-3</v>
      </c>
      <c r="G58" s="63">
        <v>2.5906351181880869E-3</v>
      </c>
      <c r="H58" s="63">
        <v>2.4117110190098648E-3</v>
      </c>
      <c r="I58" s="63">
        <v>3.1293529022805547E-3</v>
      </c>
      <c r="J58" s="63">
        <v>3.0980845852455665E-3</v>
      </c>
      <c r="K58" s="63">
        <v>2.607118829770062E-3</v>
      </c>
      <c r="L58" s="63">
        <v>1.5641899231816977E-3</v>
      </c>
      <c r="M58" s="63">
        <v>1.4423513431174255E-3</v>
      </c>
      <c r="N58" s="63">
        <v>2.7390410031274256E-3</v>
      </c>
      <c r="O58" s="63">
        <v>2.4280857864644079E-3</v>
      </c>
      <c r="P58" s="63">
        <v>4.368598343219403E-3</v>
      </c>
      <c r="Q58" s="63">
        <v>1.4583967615928691E-3</v>
      </c>
      <c r="R58" s="63">
        <v>1.9092317195090231E-3</v>
      </c>
      <c r="S58" s="63">
        <v>1.9202569084776344E-3</v>
      </c>
      <c r="T58" s="63">
        <v>3.011629779659142E-3</v>
      </c>
      <c r="U58" s="63">
        <v>2.9038671774632156E-3</v>
      </c>
      <c r="V58" s="63">
        <v>8.9614116328063352E-4</v>
      </c>
      <c r="W58" s="63">
        <v>5.3473114548986712E-3</v>
      </c>
      <c r="X58" s="63">
        <v>1.9778414199021258E-3</v>
      </c>
      <c r="Y58" s="63">
        <v>2.6422451154458288E-3</v>
      </c>
      <c r="Z58" s="63">
        <v>3.1655166652587948E-3</v>
      </c>
      <c r="AA58" s="63">
        <v>5.5010915080669839E-3</v>
      </c>
      <c r="AB58" s="63">
        <v>9.9215318143982124E-4</v>
      </c>
      <c r="AC58" s="63">
        <v>1.5667997093260617E-3</v>
      </c>
      <c r="AD58" s="63">
        <v>3.0982851073354783E-3</v>
      </c>
      <c r="AE58" s="63">
        <v>1.753049383319066E-3</v>
      </c>
    </row>
    <row r="59" spans="1:31" x14ac:dyDescent="0.3">
      <c r="A59" t="s">
        <v>56</v>
      </c>
      <c r="B59" s="63">
        <v>1.1540966804552302E-3</v>
      </c>
      <c r="C59" s="63">
        <v>4.079671421913348E-3</v>
      </c>
      <c r="D59" s="63">
        <v>2.1702026703433659E-3</v>
      </c>
      <c r="E59" s="63">
        <v>2.0817894334128162E-3</v>
      </c>
      <c r="F59" s="63">
        <v>1.5724590754507776E-3</v>
      </c>
      <c r="G59" s="63">
        <v>1.7420497678581025E-3</v>
      </c>
      <c r="H59" s="63">
        <v>1.5025559409206277E-3</v>
      </c>
      <c r="I59" s="63">
        <v>2.2664922543573214E-3</v>
      </c>
      <c r="J59" s="63">
        <v>1.357927401447869E-3</v>
      </c>
      <c r="K59" s="63">
        <v>1.8723169695680584E-3</v>
      </c>
      <c r="L59" s="63">
        <v>7.9161824507771193E-4</v>
      </c>
      <c r="M59" s="63">
        <v>9.2414605387061872E-4</v>
      </c>
      <c r="N59" s="63">
        <v>3.8898734855652571E-3</v>
      </c>
      <c r="O59" s="63">
        <v>5.9247078761677941E-4</v>
      </c>
      <c r="P59" s="63">
        <v>3.6029111530989553E-3</v>
      </c>
      <c r="Q59" s="63">
        <v>1.5320571364968905E-3</v>
      </c>
      <c r="R59" s="63">
        <v>1.5394907132375291E-3</v>
      </c>
      <c r="S59" s="63">
        <v>1.2609179485031073E-3</v>
      </c>
      <c r="T59" s="63">
        <v>6.1282675731933623E-3</v>
      </c>
      <c r="U59" s="63">
        <v>2.1075608953974199E-3</v>
      </c>
      <c r="V59" s="63">
        <v>1.1718918157301195E-3</v>
      </c>
      <c r="W59" s="63">
        <v>1.9778414199021258E-3</v>
      </c>
      <c r="X59" s="63">
        <v>5.5802055211083132E-3</v>
      </c>
      <c r="Y59" s="63">
        <v>1.3701539089596667E-3</v>
      </c>
      <c r="Z59" s="63">
        <v>1.4424883990414659E-3</v>
      </c>
      <c r="AA59" s="63">
        <v>2.9104991939697721E-3</v>
      </c>
      <c r="AB59" s="63">
        <v>8.157273777875426E-4</v>
      </c>
      <c r="AC59" s="63">
        <v>8.890399363504581E-4</v>
      </c>
      <c r="AD59" s="63">
        <v>2.6087588950979229E-3</v>
      </c>
      <c r="AE59" s="63">
        <v>1.2751995956839705E-3</v>
      </c>
    </row>
    <row r="60" spans="1:31" x14ac:dyDescent="0.3">
      <c r="A60" t="s">
        <v>57</v>
      </c>
      <c r="B60" s="63">
        <v>1.9433031419644308E-3</v>
      </c>
      <c r="C60" s="63">
        <v>5.7026644189779093E-3</v>
      </c>
      <c r="D60" s="63">
        <v>3.4629976578599213E-3</v>
      </c>
      <c r="E60" s="63">
        <v>3.0891143466083063E-3</v>
      </c>
      <c r="F60" s="63">
        <v>4.152081607538001E-3</v>
      </c>
      <c r="G60" s="63">
        <v>3.7514856395148804E-3</v>
      </c>
      <c r="H60" s="63">
        <v>3.6074959413396859E-3</v>
      </c>
      <c r="I60" s="63">
        <v>5.9218241703404258E-3</v>
      </c>
      <c r="J60" s="63">
        <v>5.0814341261584796E-3</v>
      </c>
      <c r="K60" s="63">
        <v>5.2553467810551096E-3</v>
      </c>
      <c r="L60" s="63">
        <v>-1.6543932340645803E-4</v>
      </c>
      <c r="M60" s="63">
        <v>2.4335330278885841E-3</v>
      </c>
      <c r="N60" s="63">
        <v>5.8259637419216534E-3</v>
      </c>
      <c r="O60" s="63">
        <v>2.6978319876377523E-3</v>
      </c>
      <c r="P60" s="63">
        <v>6.4703172983487768E-3</v>
      </c>
      <c r="Q60" s="63">
        <v>7.6458159160457801E-4</v>
      </c>
      <c r="R60" s="63">
        <v>2.246363345544798E-3</v>
      </c>
      <c r="S60" s="63">
        <v>1.5964286575237427E-3</v>
      </c>
      <c r="T60" s="63">
        <v>2.0081343310658839E-3</v>
      </c>
      <c r="U60" s="63">
        <v>4.6770011115462298E-3</v>
      </c>
      <c r="V60" s="63">
        <v>4.170572621284721E-5</v>
      </c>
      <c r="W60" s="63">
        <v>2.6422451154458288E-3</v>
      </c>
      <c r="X60" s="63">
        <v>1.3701539089596667E-3</v>
      </c>
      <c r="Y60" s="63">
        <v>5.7848069594524775E-3</v>
      </c>
      <c r="Z60" s="63">
        <v>5.3151006263331716E-3</v>
      </c>
      <c r="AA60" s="63">
        <v>7.5542530621858471E-3</v>
      </c>
      <c r="AB60" s="63">
        <v>2.1349115809638996E-3</v>
      </c>
      <c r="AC60" s="63">
        <v>3.1333846356201888E-3</v>
      </c>
      <c r="AD60" s="63">
        <v>6.7893213556988923E-3</v>
      </c>
      <c r="AE60" s="63">
        <v>3.2585599076153365E-3</v>
      </c>
    </row>
    <row r="61" spans="1:31" x14ac:dyDescent="0.3">
      <c r="A61" t="s">
        <v>58</v>
      </c>
      <c r="B61" s="63">
        <v>1.7364539456058284E-3</v>
      </c>
      <c r="C61" s="63">
        <v>6.3819744071839535E-3</v>
      </c>
      <c r="D61" s="63">
        <v>2.1866615723753527E-3</v>
      </c>
      <c r="E61" s="63">
        <v>2.8444248987025507E-3</v>
      </c>
      <c r="F61" s="63">
        <v>4.3127698574231292E-3</v>
      </c>
      <c r="G61" s="63">
        <v>4.1789886878068555E-3</v>
      </c>
      <c r="H61" s="63">
        <v>3.2591024138710267E-3</v>
      </c>
      <c r="I61" s="63">
        <v>7.3302384046999413E-3</v>
      </c>
      <c r="J61" s="63">
        <v>6.9452665682849524E-3</v>
      </c>
      <c r="K61" s="63">
        <v>5.97724779836216E-3</v>
      </c>
      <c r="L61" s="63">
        <v>5.3610085630297413E-4</v>
      </c>
      <c r="M61" s="63">
        <v>3.1748469422523099E-3</v>
      </c>
      <c r="N61" s="63">
        <v>6.5849640930353021E-3</v>
      </c>
      <c r="O61" s="63">
        <v>3.8927745877437949E-3</v>
      </c>
      <c r="P61" s="63">
        <v>7.308237407426782E-3</v>
      </c>
      <c r="Q61" s="63">
        <v>1.0907007444992472E-3</v>
      </c>
      <c r="R61" s="63">
        <v>2.2076070109520009E-3</v>
      </c>
      <c r="S61" s="63">
        <v>2.0593967819088742E-3</v>
      </c>
      <c r="T61" s="63">
        <v>2.5387215223536754E-3</v>
      </c>
      <c r="U61" s="63">
        <v>5.8290088539069132E-3</v>
      </c>
      <c r="V61" s="63">
        <v>7.4693325834822115E-4</v>
      </c>
      <c r="W61" s="63">
        <v>3.1655166652587948E-3</v>
      </c>
      <c r="X61" s="63">
        <v>1.4424883990414659E-3</v>
      </c>
      <c r="Y61" s="63">
        <v>5.3151006263331716E-3</v>
      </c>
      <c r="Z61" s="63">
        <v>8.845875820474091E-3</v>
      </c>
      <c r="AA61" s="63">
        <v>1.0617560828778509E-2</v>
      </c>
      <c r="AB61" s="63">
        <v>2.9681305218098122E-3</v>
      </c>
      <c r="AC61" s="63">
        <v>3.5274560754207668E-3</v>
      </c>
      <c r="AD61" s="63">
        <v>8.3055228717136553E-3</v>
      </c>
      <c r="AE61" s="63">
        <v>3.8116290986035268E-3</v>
      </c>
    </row>
    <row r="62" spans="1:31" x14ac:dyDescent="0.3">
      <c r="A62" t="s">
        <v>59</v>
      </c>
      <c r="B62" s="63">
        <v>3.1166687133878487E-3</v>
      </c>
      <c r="C62" s="63">
        <v>9.1378892663955182E-3</v>
      </c>
      <c r="D62" s="63">
        <v>4.9178305202009481E-3</v>
      </c>
      <c r="E62" s="63">
        <v>4.8142831983273814E-3</v>
      </c>
      <c r="F62" s="63">
        <v>6.0680443552748155E-3</v>
      </c>
      <c r="G62" s="63">
        <v>6.0890993093112569E-3</v>
      </c>
      <c r="H62" s="63">
        <v>6.1668034523249451E-3</v>
      </c>
      <c r="I62" s="63">
        <v>9.5449616457973993E-3</v>
      </c>
      <c r="J62" s="63">
        <v>1.0101437266593322E-2</v>
      </c>
      <c r="K62" s="63">
        <v>7.47245834343739E-3</v>
      </c>
      <c r="L62" s="63">
        <v>7.32360345164446E-4</v>
      </c>
      <c r="M62" s="63">
        <v>5.6740114408066469E-3</v>
      </c>
      <c r="N62" s="63">
        <v>9.916240560862731E-3</v>
      </c>
      <c r="O62" s="63">
        <v>5.6212203663312558E-3</v>
      </c>
      <c r="P62" s="63">
        <v>9.5505128961767324E-3</v>
      </c>
      <c r="Q62" s="63">
        <v>2.6409200706091563E-3</v>
      </c>
      <c r="R62" s="63">
        <v>3.4135789223413088E-3</v>
      </c>
      <c r="S62" s="63">
        <v>3.3599849397208921E-3</v>
      </c>
      <c r="T62" s="63">
        <v>4.8526969615829869E-3</v>
      </c>
      <c r="U62" s="63">
        <v>9.2204128091659694E-3</v>
      </c>
      <c r="V62" s="63">
        <v>1.4981300761684995E-3</v>
      </c>
      <c r="W62" s="63">
        <v>5.5010915080669839E-3</v>
      </c>
      <c r="X62" s="63">
        <v>2.9104991939697721E-3</v>
      </c>
      <c r="Y62" s="63">
        <v>7.5542530621858471E-3</v>
      </c>
      <c r="Z62" s="63">
        <v>1.0617560828778509E-2</v>
      </c>
      <c r="AA62" s="63">
        <v>2.2541525873213404E-2</v>
      </c>
      <c r="AB62" s="63">
        <v>5.1118762411525766E-3</v>
      </c>
      <c r="AC62" s="63">
        <v>4.8249493302462846E-3</v>
      </c>
      <c r="AD62" s="63">
        <v>1.228236899167395E-2</v>
      </c>
      <c r="AE62" s="63">
        <v>5.7117479602501508E-3</v>
      </c>
    </row>
    <row r="63" spans="1:31" x14ac:dyDescent="0.3">
      <c r="A63" t="s">
        <v>16</v>
      </c>
      <c r="B63" s="63">
        <v>1.2086178531878398E-3</v>
      </c>
      <c r="C63" s="63">
        <v>1.8429309718483217E-3</v>
      </c>
      <c r="D63" s="63">
        <v>9.6081333470328151E-4</v>
      </c>
      <c r="E63" s="63">
        <v>1.7458317327857494E-3</v>
      </c>
      <c r="F63" s="63">
        <v>1.4847253270266073E-3</v>
      </c>
      <c r="G63" s="63">
        <v>1.4256780993732307E-3</v>
      </c>
      <c r="H63" s="63">
        <v>1.5463198460653528E-3</v>
      </c>
      <c r="I63" s="63">
        <v>2.4419870474809884E-3</v>
      </c>
      <c r="J63" s="63">
        <v>2.4204257927906091E-3</v>
      </c>
      <c r="K63" s="63">
        <v>1.7451344782734191E-3</v>
      </c>
      <c r="L63" s="63">
        <v>5.3308099379059241E-5</v>
      </c>
      <c r="M63" s="63">
        <v>2.5594237623329276E-3</v>
      </c>
      <c r="N63" s="63">
        <v>1.9567430279687588E-3</v>
      </c>
      <c r="O63" s="63">
        <v>4.0846774786940268E-5</v>
      </c>
      <c r="P63" s="63">
        <v>4.7585275602122831E-3</v>
      </c>
      <c r="Q63" s="63">
        <v>1.5092846948161671E-3</v>
      </c>
      <c r="R63" s="63">
        <v>1.7709192772974896E-3</v>
      </c>
      <c r="S63" s="63">
        <v>1.9828600022248162E-3</v>
      </c>
      <c r="T63" s="63">
        <v>1.5732357858247062E-3</v>
      </c>
      <c r="U63" s="63">
        <v>4.2628225954180546E-3</v>
      </c>
      <c r="V63" s="63">
        <v>1.0581443212937024E-3</v>
      </c>
      <c r="W63" s="63">
        <v>9.9215318143982124E-4</v>
      </c>
      <c r="X63" s="63">
        <v>8.157273777875426E-4</v>
      </c>
      <c r="Y63" s="63">
        <v>2.1349115809638996E-3</v>
      </c>
      <c r="Z63" s="63">
        <v>2.9681305218098122E-3</v>
      </c>
      <c r="AA63" s="63">
        <v>5.1118762411525766E-3</v>
      </c>
      <c r="AB63" s="63">
        <v>7.2960460110875957E-3</v>
      </c>
      <c r="AC63" s="63">
        <v>1.5141978433297382E-3</v>
      </c>
      <c r="AD63" s="63">
        <v>2.5546954984916122E-3</v>
      </c>
      <c r="AE63" s="63">
        <v>1.5857163312660524E-3</v>
      </c>
    </row>
    <row r="64" spans="1:31" x14ac:dyDescent="0.3">
      <c r="A64" t="s">
        <v>60</v>
      </c>
      <c r="B64" s="63">
        <v>1.45606915048578E-3</v>
      </c>
      <c r="C64" s="63">
        <v>3.8822071295009919E-3</v>
      </c>
      <c r="D64" s="63">
        <v>1.2000365374160071E-3</v>
      </c>
      <c r="E64" s="63">
        <v>2.4646757360674873E-3</v>
      </c>
      <c r="F64" s="63">
        <v>3.7248298520269601E-3</v>
      </c>
      <c r="G64" s="63">
        <v>2.6759469374499113E-3</v>
      </c>
      <c r="H64" s="63">
        <v>2.1373962145003439E-3</v>
      </c>
      <c r="I64" s="63">
        <v>4.0922765559085819E-3</v>
      </c>
      <c r="J64" s="63">
        <v>3.2471699592072486E-3</v>
      </c>
      <c r="K64" s="63">
        <v>3.5296212393389585E-3</v>
      </c>
      <c r="L64" s="63">
        <v>-1.9414786655893706E-4</v>
      </c>
      <c r="M64" s="63">
        <v>1.9187205928992974E-3</v>
      </c>
      <c r="N64" s="63">
        <v>4.0589330120773051E-3</v>
      </c>
      <c r="O64" s="63">
        <v>1.8860732537281846E-3</v>
      </c>
      <c r="P64" s="63">
        <v>3.4943235420989206E-3</v>
      </c>
      <c r="Q64" s="63">
        <v>1.1267013387991495E-3</v>
      </c>
      <c r="R64" s="63">
        <v>1.4424001746347621E-3</v>
      </c>
      <c r="S64" s="63">
        <v>1.799994526404607E-3</v>
      </c>
      <c r="T64" s="63">
        <v>1.1693750823786508E-3</v>
      </c>
      <c r="U64" s="63">
        <v>3.9106853215895498E-3</v>
      </c>
      <c r="V64" s="63">
        <v>5.6210738185387236E-4</v>
      </c>
      <c r="W64" s="63">
        <v>1.5667997093260617E-3</v>
      </c>
      <c r="X64" s="63">
        <v>8.890399363504581E-4</v>
      </c>
      <c r="Y64" s="63">
        <v>3.1333846356201888E-3</v>
      </c>
      <c r="Z64" s="63">
        <v>3.5274560754207668E-3</v>
      </c>
      <c r="AA64" s="63">
        <v>4.8249493302462846E-3</v>
      </c>
      <c r="AB64" s="63">
        <v>1.5141978433297382E-3</v>
      </c>
      <c r="AC64" s="63">
        <v>4.1593914991968958E-3</v>
      </c>
      <c r="AD64" s="63">
        <v>4.9176475035715445E-3</v>
      </c>
      <c r="AE64" s="63">
        <v>3.1936903995830579E-3</v>
      </c>
    </row>
    <row r="65" spans="1:32" x14ac:dyDescent="0.3">
      <c r="A65" t="s">
        <v>61</v>
      </c>
      <c r="B65" s="63">
        <v>1.943169167651723E-3</v>
      </c>
      <c r="C65" s="63">
        <v>9.8298896391867934E-3</v>
      </c>
      <c r="D65" s="63">
        <v>6.5757909781266445E-3</v>
      </c>
      <c r="E65" s="63">
        <v>3.9696606660632617E-3</v>
      </c>
      <c r="F65" s="63">
        <v>6.0345769317669091E-3</v>
      </c>
      <c r="G65" s="63">
        <v>5.6207532036572768E-3</v>
      </c>
      <c r="H65" s="63">
        <v>4.1293042885421497E-3</v>
      </c>
      <c r="I65" s="63">
        <v>8.1996098382163471E-3</v>
      </c>
      <c r="J65" s="63">
        <v>7.2734508141150409E-3</v>
      </c>
      <c r="K65" s="63">
        <v>6.6485223847282809E-3</v>
      </c>
      <c r="L65" s="63">
        <v>1.364033267883327E-3</v>
      </c>
      <c r="M65" s="63">
        <v>3.1953062542965011E-3</v>
      </c>
      <c r="N65" s="63">
        <v>9.7287475102999978E-3</v>
      </c>
      <c r="O65" s="63">
        <v>3.4699044142861403E-3</v>
      </c>
      <c r="P65" s="63">
        <v>8.5937677856264515E-3</v>
      </c>
      <c r="Q65" s="63">
        <v>1.1688517431267371E-3</v>
      </c>
      <c r="R65" s="63">
        <v>3.6490151467188409E-3</v>
      </c>
      <c r="S65" s="63">
        <v>2.9647709316486309E-3</v>
      </c>
      <c r="T65" s="63">
        <v>4.4933947567624899E-3</v>
      </c>
      <c r="U65" s="63">
        <v>8.09599442702553E-3</v>
      </c>
      <c r="V65" s="63">
        <v>8.7168276341616127E-4</v>
      </c>
      <c r="W65" s="63">
        <v>3.0982851073354783E-3</v>
      </c>
      <c r="X65" s="63">
        <v>2.6087588950979229E-3</v>
      </c>
      <c r="Y65" s="63">
        <v>6.7893213556988923E-3</v>
      </c>
      <c r="Z65" s="63">
        <v>8.3055228717136553E-3</v>
      </c>
      <c r="AA65" s="63">
        <v>1.228236899167395E-2</v>
      </c>
      <c r="AB65" s="63">
        <v>2.5546954984916122E-3</v>
      </c>
      <c r="AC65" s="63">
        <v>4.9176475035715445E-3</v>
      </c>
      <c r="AD65" s="63">
        <v>1.9090064164384024E-2</v>
      </c>
      <c r="AE65" s="63">
        <v>6.0393870610203635E-3</v>
      </c>
    </row>
    <row r="66" spans="1:32" ht="14.5" thickBot="1" x14ac:dyDescent="0.35">
      <c r="A66" s="10" t="s">
        <v>62</v>
      </c>
      <c r="B66" s="64">
        <v>1.1921210953154448E-3</v>
      </c>
      <c r="C66" s="64">
        <v>4.0714430304877522E-3</v>
      </c>
      <c r="D66" s="64">
        <v>1.6728491358270921E-3</v>
      </c>
      <c r="E66" s="64">
        <v>2.2365143836244402E-3</v>
      </c>
      <c r="F66" s="64">
        <v>3.843056397417386E-3</v>
      </c>
      <c r="G66" s="64">
        <v>2.3313656336295106E-3</v>
      </c>
      <c r="H66" s="64">
        <v>2.5722249157352712E-3</v>
      </c>
      <c r="I66" s="64">
        <v>3.9883344027427329E-3</v>
      </c>
      <c r="J66" s="64">
        <v>2.8729765487115369E-3</v>
      </c>
      <c r="K66" s="64">
        <v>3.5670421177579005E-3</v>
      </c>
      <c r="L66" s="64">
        <v>-1.7422386638884697E-4</v>
      </c>
      <c r="M66" s="64">
        <v>2.0298015012944434E-3</v>
      </c>
      <c r="N66" s="64">
        <v>4.417252691005142E-3</v>
      </c>
      <c r="O66" s="64">
        <v>1.9538420122091745E-3</v>
      </c>
      <c r="P66" s="64">
        <v>3.5533356355167008E-3</v>
      </c>
      <c r="Q66" s="64">
        <v>1.0670574801908868E-3</v>
      </c>
      <c r="R66" s="64">
        <v>1.1019884486609215E-3</v>
      </c>
      <c r="S66" s="64">
        <v>2.0597365548397223E-3</v>
      </c>
      <c r="T66" s="64">
        <v>1.5867521630024619E-3</v>
      </c>
      <c r="U66" s="64">
        <v>4.0311611390987882E-3</v>
      </c>
      <c r="V66" s="64">
        <v>3.9533756765283229E-4</v>
      </c>
      <c r="W66" s="64">
        <v>1.753049383319066E-3</v>
      </c>
      <c r="X66" s="64">
        <v>1.2751995956839705E-3</v>
      </c>
      <c r="Y66" s="64">
        <v>3.2585599076153365E-3</v>
      </c>
      <c r="Z66" s="64">
        <v>3.8116290986035268E-3</v>
      </c>
      <c r="AA66" s="64">
        <v>5.7117479602501508E-3</v>
      </c>
      <c r="AB66" s="64">
        <v>1.5857163312660524E-3</v>
      </c>
      <c r="AC66" s="64">
        <v>3.1936903995830579E-3</v>
      </c>
      <c r="AD66" s="64">
        <v>6.0393870610203635E-3</v>
      </c>
      <c r="AE66" s="64">
        <v>4.2711793497885436E-3</v>
      </c>
    </row>
    <row r="68" spans="1:32" ht="16" thickBot="1" x14ac:dyDescent="0.35">
      <c r="A68" s="15" t="s">
        <v>141</v>
      </c>
    </row>
    <row r="69" spans="1:32" ht="14.5" x14ac:dyDescent="0.35">
      <c r="A69" s="13"/>
      <c r="B69" s="13" t="s">
        <v>41</v>
      </c>
      <c r="C69" s="13" t="s">
        <v>42</v>
      </c>
      <c r="D69" s="13" t="s">
        <v>10</v>
      </c>
      <c r="E69" s="13" t="s">
        <v>43</v>
      </c>
      <c r="F69" s="13" t="s">
        <v>44</v>
      </c>
      <c r="G69" s="13" t="s">
        <v>45</v>
      </c>
      <c r="H69" s="13" t="s">
        <v>46</v>
      </c>
      <c r="I69" s="13" t="s">
        <v>47</v>
      </c>
      <c r="J69" s="13" t="s">
        <v>12</v>
      </c>
      <c r="K69" s="13" t="s">
        <v>48</v>
      </c>
      <c r="L69" s="13" t="s">
        <v>11</v>
      </c>
      <c r="M69" s="13" t="s">
        <v>13</v>
      </c>
      <c r="N69" s="13" t="s">
        <v>49</v>
      </c>
      <c r="O69" s="13" t="s">
        <v>14</v>
      </c>
      <c r="P69" s="13" t="s">
        <v>17</v>
      </c>
      <c r="Q69" s="13" t="s">
        <v>50</v>
      </c>
      <c r="R69" s="13" t="s">
        <v>51</v>
      </c>
      <c r="S69" s="13" t="s">
        <v>52</v>
      </c>
      <c r="T69" s="13" t="s">
        <v>53</v>
      </c>
      <c r="U69" s="13" t="s">
        <v>15</v>
      </c>
      <c r="V69" s="13" t="s">
        <v>54</v>
      </c>
      <c r="W69" s="13" t="s">
        <v>55</v>
      </c>
      <c r="X69" s="13" t="s">
        <v>56</v>
      </c>
      <c r="Y69" s="13" t="s">
        <v>57</v>
      </c>
      <c r="Z69" s="13" t="s">
        <v>58</v>
      </c>
      <c r="AA69" s="13" t="s">
        <v>59</v>
      </c>
      <c r="AB69" s="13" t="s">
        <v>16</v>
      </c>
      <c r="AC69" s="13" t="s">
        <v>60</v>
      </c>
      <c r="AD69" s="13" t="s">
        <v>61</v>
      </c>
      <c r="AE69" s="13" t="s">
        <v>62</v>
      </c>
    </row>
    <row r="70" spans="1:32" x14ac:dyDescent="0.3">
      <c r="A70" t="s">
        <v>41</v>
      </c>
      <c r="B70" s="63">
        <f t="array" ref="B70:AE99">SIM('ROR-Var-Sd'!B87:AE160,'ROR-Var-Sd'!AF87:AF160)</f>
        <v>2.4171584895452498E-3</v>
      </c>
      <c r="C70" s="63">
        <v>2.6527930059644829E-3</v>
      </c>
      <c r="D70" s="63">
        <v>1.401238657436524E-3</v>
      </c>
      <c r="E70" s="63">
        <v>1.6547548284616632E-3</v>
      </c>
      <c r="F70" s="63">
        <v>1.7817095609724181E-3</v>
      </c>
      <c r="G70" s="63">
        <v>1.8344428388613388E-3</v>
      </c>
      <c r="H70" s="63">
        <v>1.5338851042053772E-3</v>
      </c>
      <c r="I70" s="63">
        <v>2.5121741960610232E-3</v>
      </c>
      <c r="J70" s="63">
        <v>2.1207550695879727E-3</v>
      </c>
      <c r="K70" s="63">
        <v>2.2062495189674961E-3</v>
      </c>
      <c r="L70" s="63">
        <v>2.9119972992668091E-4</v>
      </c>
      <c r="M70" s="63">
        <v>1.1076098549419513E-3</v>
      </c>
      <c r="N70" s="63">
        <v>2.6709647409103171E-3</v>
      </c>
      <c r="O70" s="63">
        <v>1.1286494811243739E-3</v>
      </c>
      <c r="P70" s="63">
        <v>2.8690574262039328E-3</v>
      </c>
      <c r="Q70" s="63">
        <v>6.4049258609298685E-4</v>
      </c>
      <c r="R70" s="63">
        <v>1.1177012654153148E-3</v>
      </c>
      <c r="S70" s="63">
        <v>9.9540826502778372E-4</v>
      </c>
      <c r="T70" s="63">
        <v>1.3231562527762154E-3</v>
      </c>
      <c r="U70" s="63">
        <v>2.1196839595951059E-3</v>
      </c>
      <c r="V70" s="63">
        <v>3.4939234927573579E-4</v>
      </c>
      <c r="W70" s="63">
        <v>1.3757864734595337E-3</v>
      </c>
      <c r="X70" s="63">
        <v>1.0195602206059565E-3</v>
      </c>
      <c r="Y70" s="63">
        <v>2.026913725845206E-3</v>
      </c>
      <c r="Z70" s="63">
        <v>2.2510571906632325E-3</v>
      </c>
      <c r="AA70" s="63">
        <v>3.3097992380261253E-3</v>
      </c>
      <c r="AB70" s="63">
        <v>9.2149248630882155E-4</v>
      </c>
      <c r="AC70" s="63">
        <v>1.497373910260511E-3</v>
      </c>
      <c r="AD70" s="63">
        <v>2.9864993996429924E-3</v>
      </c>
      <c r="AE70" s="63">
        <v>1.4889614679966174E-3</v>
      </c>
      <c r="AF70" t="str" cm="1">
        <f t="array" ref="AF70">getformula(AE70)</f>
        <v>=SIM('ROR-Var-Sd'!B87:AE160,'ROR-Var-Sd'!AF87:AF160)</v>
      </c>
    </row>
    <row r="71" spans="1:32" x14ac:dyDescent="0.3">
      <c r="A71" t="s">
        <v>42</v>
      </c>
      <c r="B71" s="63">
        <v>2.6527930059644829E-3</v>
      </c>
      <c r="C71" s="63">
        <v>1.4495099160265814E-2</v>
      </c>
      <c r="D71" s="63">
        <v>3.8941009550018699E-3</v>
      </c>
      <c r="E71" s="63">
        <v>4.5986330191567825E-3</v>
      </c>
      <c r="F71" s="63">
        <v>4.9514455414836813E-3</v>
      </c>
      <c r="G71" s="63">
        <v>5.0979935307914398E-3</v>
      </c>
      <c r="H71" s="63">
        <v>4.2627309897920679E-3</v>
      </c>
      <c r="I71" s="63">
        <v>6.9814373762061592E-3</v>
      </c>
      <c r="J71" s="63">
        <v>5.8936672193413914E-3</v>
      </c>
      <c r="K71" s="63">
        <v>6.1312598772439537E-3</v>
      </c>
      <c r="L71" s="63">
        <v>8.0925625366223049E-4</v>
      </c>
      <c r="M71" s="63">
        <v>3.0780942068709097E-3</v>
      </c>
      <c r="N71" s="63">
        <v>7.4227229552624261E-3</v>
      </c>
      <c r="O71" s="63">
        <v>3.136564209803701E-3</v>
      </c>
      <c r="P71" s="63">
        <v>7.9732308297682346E-3</v>
      </c>
      <c r="Q71" s="63">
        <v>1.7799557398303523E-3</v>
      </c>
      <c r="R71" s="63">
        <v>3.1061386595079301E-3</v>
      </c>
      <c r="S71" s="63">
        <v>2.7662812861249078E-3</v>
      </c>
      <c r="T71" s="63">
        <v>3.6771066800131902E-3</v>
      </c>
      <c r="U71" s="63">
        <v>5.8906905597809383E-3</v>
      </c>
      <c r="V71" s="63">
        <v>9.7097598168898889E-4</v>
      </c>
      <c r="W71" s="63">
        <v>3.8233682690274463E-3</v>
      </c>
      <c r="X71" s="63">
        <v>2.8334005828863783E-3</v>
      </c>
      <c r="Y71" s="63">
        <v>5.6328781921845946E-3</v>
      </c>
      <c r="Z71" s="63">
        <v>6.2557822747782797E-3</v>
      </c>
      <c r="AA71" s="63">
        <v>9.1980707963346016E-3</v>
      </c>
      <c r="AB71" s="63">
        <v>2.5608662392507418E-3</v>
      </c>
      <c r="AC71" s="63">
        <v>4.1612648516332279E-3</v>
      </c>
      <c r="AD71" s="63">
        <v>8.2996069959546601E-3</v>
      </c>
      <c r="AE71" s="63">
        <v>4.1378863220159707E-3</v>
      </c>
    </row>
    <row r="72" spans="1:32" x14ac:dyDescent="0.3">
      <c r="A72" t="s">
        <v>10</v>
      </c>
      <c r="B72" s="63">
        <v>1.401238657436524E-3</v>
      </c>
      <c r="C72" s="63">
        <v>3.8941009550018699E-3</v>
      </c>
      <c r="D72" s="63">
        <v>2.5821472367638841E-2</v>
      </c>
      <c r="E72" s="63">
        <v>2.4290558454121585E-3</v>
      </c>
      <c r="F72" s="63">
        <v>2.6154158606868506E-3</v>
      </c>
      <c r="G72" s="63">
        <v>2.6928243532929165E-3</v>
      </c>
      <c r="H72" s="63">
        <v>2.2516281653787175E-3</v>
      </c>
      <c r="I72" s="63">
        <v>3.6876831000448064E-3</v>
      </c>
      <c r="J72" s="63">
        <v>3.1131092110238136E-3</v>
      </c>
      <c r="K72" s="63">
        <v>3.2386086435945501E-3</v>
      </c>
      <c r="L72" s="63">
        <v>4.2745933959196998E-4</v>
      </c>
      <c r="M72" s="63">
        <v>1.6258881051787128E-3</v>
      </c>
      <c r="N72" s="63">
        <v>3.9207756975270175E-3</v>
      </c>
      <c r="O72" s="63">
        <v>1.6567726967113517E-3</v>
      </c>
      <c r="P72" s="63">
        <v>4.2115608862870789E-3</v>
      </c>
      <c r="Q72" s="63">
        <v>9.4019502673919149E-4</v>
      </c>
      <c r="R72" s="63">
        <v>1.640701538067478E-3</v>
      </c>
      <c r="S72" s="63">
        <v>1.4611845955361899E-3</v>
      </c>
      <c r="T72" s="63">
        <v>1.9422940334838702E-3</v>
      </c>
      <c r="U72" s="63">
        <v>3.111536901975668E-3</v>
      </c>
      <c r="V72" s="63">
        <v>5.1288173556169486E-4</v>
      </c>
      <c r="W72" s="63">
        <v>2.0195512458498822E-3</v>
      </c>
      <c r="X72" s="63">
        <v>1.4966378529409953E-3</v>
      </c>
      <c r="Y72" s="63">
        <v>2.9753571642317164E-3</v>
      </c>
      <c r="Z72" s="63">
        <v>3.3043829413816248E-3</v>
      </c>
      <c r="AA72" s="63">
        <v>4.8585367741408149E-3</v>
      </c>
      <c r="AB72" s="63">
        <v>1.3526817821421355E-3</v>
      </c>
      <c r="AC72" s="63">
        <v>2.1980324740114333E-3</v>
      </c>
      <c r="AD72" s="63">
        <v>4.3839568854841865E-3</v>
      </c>
      <c r="AE72" s="63">
        <v>2.1856836403934049E-3</v>
      </c>
    </row>
    <row r="73" spans="1:32" x14ac:dyDescent="0.3">
      <c r="A73" t="s">
        <v>43</v>
      </c>
      <c r="B73" s="63">
        <v>1.6547548284616632E-3</v>
      </c>
      <c r="C73" s="63">
        <v>4.5986330191567825E-3</v>
      </c>
      <c r="D73" s="63">
        <v>2.4290558454121585E-3</v>
      </c>
      <c r="E73" s="63">
        <v>5.4198518975310589E-3</v>
      </c>
      <c r="F73" s="63">
        <v>3.0886045006953675E-3</v>
      </c>
      <c r="G73" s="63">
        <v>3.1800179627947951E-3</v>
      </c>
      <c r="H73" s="63">
        <v>2.6589992780937047E-3</v>
      </c>
      <c r="I73" s="63">
        <v>4.3548694458652899E-3</v>
      </c>
      <c r="J73" s="63">
        <v>3.6763419786707487E-3</v>
      </c>
      <c r="K73" s="63">
        <v>3.8245471333840405E-3</v>
      </c>
      <c r="L73" s="63">
        <v>5.0479652585012176E-4</v>
      </c>
      <c r="M73" s="63">
        <v>1.920048507300575E-3</v>
      </c>
      <c r="N73" s="63">
        <v>4.6301338336377429E-3</v>
      </c>
      <c r="O73" s="63">
        <v>1.9565208289086559E-3</v>
      </c>
      <c r="P73" s="63">
        <v>4.9735287240029102E-3</v>
      </c>
      <c r="Q73" s="63">
        <v>1.110297843936551E-3</v>
      </c>
      <c r="R73" s="63">
        <v>1.9375420295272749E-3</v>
      </c>
      <c r="S73" s="63">
        <v>1.7255463599332248E-3</v>
      </c>
      <c r="T73" s="63">
        <v>2.2936995158837235E-3</v>
      </c>
      <c r="U73" s="63">
        <v>3.6744852028992238E-3</v>
      </c>
      <c r="V73" s="63">
        <v>6.0567379000458263E-4</v>
      </c>
      <c r="W73" s="63">
        <v>2.3849343276823249E-3</v>
      </c>
      <c r="X73" s="63">
        <v>1.7674139237232663E-3</v>
      </c>
      <c r="Y73" s="63">
        <v>3.5136674311552585E-3</v>
      </c>
      <c r="Z73" s="63">
        <v>3.9022215083195379E-3</v>
      </c>
      <c r="AA73" s="63">
        <v>5.7375573701172059E-3</v>
      </c>
      <c r="AB73" s="63">
        <v>1.5974129021438476E-3</v>
      </c>
      <c r="AC73" s="63">
        <v>2.5957068984522502E-3</v>
      </c>
      <c r="AD73" s="63">
        <v>5.1771151084955957E-3</v>
      </c>
      <c r="AE73" s="63">
        <v>2.5811238779604477E-3</v>
      </c>
    </row>
    <row r="74" spans="1:32" x14ac:dyDescent="0.3">
      <c r="A74" t="s">
        <v>44</v>
      </c>
      <c r="B74" s="63">
        <v>1.7817095609724181E-3</v>
      </c>
      <c r="C74" s="63">
        <v>4.9514455414836813E-3</v>
      </c>
      <c r="D74" s="63">
        <v>2.6154158606868506E-3</v>
      </c>
      <c r="E74" s="63">
        <v>3.0886045006953675E-3</v>
      </c>
      <c r="F74" s="63">
        <v>4.8813158737581117E-3</v>
      </c>
      <c r="G74" s="63">
        <v>3.4239926730673278E-3</v>
      </c>
      <c r="H74" s="63">
        <v>2.8630008233924121E-3</v>
      </c>
      <c r="I74" s="63">
        <v>4.6889801407608367E-3</v>
      </c>
      <c r="J74" s="63">
        <v>3.9583952499424192E-3</v>
      </c>
      <c r="K74" s="63">
        <v>4.1179708780634443E-3</v>
      </c>
      <c r="L74" s="63">
        <v>5.4352510775807611E-4</v>
      </c>
      <c r="M74" s="63">
        <v>2.0673568822086744E-3</v>
      </c>
      <c r="N74" s="63">
        <v>4.9853631354219467E-3</v>
      </c>
      <c r="O74" s="63">
        <v>2.106627403135566E-3</v>
      </c>
      <c r="P74" s="63">
        <v>5.3551036847947365E-3</v>
      </c>
      <c r="Q74" s="63">
        <v>1.1954811976030715E-3</v>
      </c>
      <c r="R74" s="63">
        <v>2.0861925279915426E-3</v>
      </c>
      <c r="S74" s="63">
        <v>1.8579323018215971E-3</v>
      </c>
      <c r="T74" s="63">
        <v>2.4696748346986412E-3</v>
      </c>
      <c r="U74" s="63">
        <v>3.9563960201545335E-3</v>
      </c>
      <c r="V74" s="63">
        <v>6.5214179401112808E-4</v>
      </c>
      <c r="W74" s="63">
        <v>2.5679092883344134E-3</v>
      </c>
      <c r="X74" s="63">
        <v>1.9030119942426715E-3</v>
      </c>
      <c r="Y74" s="63">
        <v>3.783240120221687E-3</v>
      </c>
      <c r="Z74" s="63">
        <v>4.2016045222050286E-3</v>
      </c>
      <c r="AA74" s="63">
        <v>6.1777495053264462E-3</v>
      </c>
      <c r="AB74" s="63">
        <v>1.7199682947692506E-3</v>
      </c>
      <c r="AC74" s="63">
        <v>2.7948525781029813E-3</v>
      </c>
      <c r="AD74" s="63">
        <v>5.5743094556409455E-3</v>
      </c>
      <c r="AE74" s="63">
        <v>2.7791507311639659E-3</v>
      </c>
    </row>
    <row r="75" spans="1:32" x14ac:dyDescent="0.3">
      <c r="A75" t="s">
        <v>45</v>
      </c>
      <c r="B75" s="63">
        <v>1.8344428388613388E-3</v>
      </c>
      <c r="C75" s="63">
        <v>5.0979935307914398E-3</v>
      </c>
      <c r="D75" s="63">
        <v>2.6928243532929165E-3</v>
      </c>
      <c r="E75" s="63">
        <v>3.1800179627947951E-3</v>
      </c>
      <c r="F75" s="63">
        <v>3.4239926730673278E-3</v>
      </c>
      <c r="G75" s="63">
        <v>4.9621197449548245E-3</v>
      </c>
      <c r="H75" s="63">
        <v>2.9477370909206401E-3</v>
      </c>
      <c r="I75" s="63">
        <v>4.8277599386552924E-3</v>
      </c>
      <c r="J75" s="63">
        <v>4.0755519186171235E-3</v>
      </c>
      <c r="K75" s="63">
        <v>4.2398505083960578E-3</v>
      </c>
      <c r="L75" s="63">
        <v>5.5961182647746677E-4</v>
      </c>
      <c r="M75" s="63">
        <v>2.1285444670727208E-3</v>
      </c>
      <c r="N75" s="63">
        <v>5.1329149841384701E-3</v>
      </c>
      <c r="O75" s="63">
        <v>2.1689772780485866E-3</v>
      </c>
      <c r="P75" s="63">
        <v>5.5135987487041098E-3</v>
      </c>
      <c r="Q75" s="63">
        <v>1.2308638680366161E-3</v>
      </c>
      <c r="R75" s="63">
        <v>2.1479375916753935E-3</v>
      </c>
      <c r="S75" s="63">
        <v>1.9129215450275929E-3</v>
      </c>
      <c r="T75" s="63">
        <v>2.5427698285215169E-3</v>
      </c>
      <c r="U75" s="63">
        <v>4.0734935176027489E-3</v>
      </c>
      <c r="V75" s="63">
        <v>6.7144324201357289E-4</v>
      </c>
      <c r="W75" s="63">
        <v>2.6439117283849531E-3</v>
      </c>
      <c r="X75" s="63">
        <v>1.9593354616116057E-3</v>
      </c>
      <c r="Y75" s="63">
        <v>3.8952127205546389E-3</v>
      </c>
      <c r="Z75" s="63">
        <v>4.3259594584427056E-3</v>
      </c>
      <c r="AA75" s="63">
        <v>6.3605924268263581E-3</v>
      </c>
      <c r="AB75" s="63">
        <v>1.7708742157088555E-3</v>
      </c>
      <c r="AC75" s="63">
        <v>2.8775718612499119E-3</v>
      </c>
      <c r="AD75" s="63">
        <v>5.7392923552122537E-3</v>
      </c>
      <c r="AE75" s="63">
        <v>2.8614052865706735E-3</v>
      </c>
    </row>
    <row r="76" spans="1:32" x14ac:dyDescent="0.3">
      <c r="A76" t="s">
        <v>46</v>
      </c>
      <c r="B76" s="63">
        <v>1.5338851042053772E-3</v>
      </c>
      <c r="C76" s="63">
        <v>4.2627309897920679E-3</v>
      </c>
      <c r="D76" s="63">
        <v>2.2516281653787175E-3</v>
      </c>
      <c r="E76" s="63">
        <v>2.6589992780937047E-3</v>
      </c>
      <c r="F76" s="63">
        <v>2.8630008233924121E-3</v>
      </c>
      <c r="G76" s="63">
        <v>2.9477370909206401E-3</v>
      </c>
      <c r="H76" s="63">
        <v>4.7671039173725407E-3</v>
      </c>
      <c r="I76" s="63">
        <v>4.0367728553370114E-3</v>
      </c>
      <c r="J76" s="63">
        <v>3.4078076715995083E-3</v>
      </c>
      <c r="K76" s="63">
        <v>3.5451873457791015E-3</v>
      </c>
      <c r="L76" s="63">
        <v>4.6792422559416335E-4</v>
      </c>
      <c r="M76" s="63">
        <v>1.7798007016169607E-3</v>
      </c>
      <c r="N76" s="63">
        <v>4.2919308623481749E-3</v>
      </c>
      <c r="O76" s="63">
        <v>1.8136089430967159E-3</v>
      </c>
      <c r="P76" s="63">
        <v>4.6102428552378038E-3</v>
      </c>
      <c r="Q76" s="63">
        <v>1.0291973739873443E-3</v>
      </c>
      <c r="R76" s="63">
        <v>1.7960164289876224E-3</v>
      </c>
      <c r="S76" s="63">
        <v>1.5995057470706777E-3</v>
      </c>
      <c r="T76" s="63">
        <v>2.1261587882525634E-3</v>
      </c>
      <c r="U76" s="63">
        <v>3.4060865219471218E-3</v>
      </c>
      <c r="V76" s="63">
        <v>5.6143302229208058E-4</v>
      </c>
      <c r="W76" s="63">
        <v>2.2107294547923035E-3</v>
      </c>
      <c r="X76" s="63">
        <v>1.6383151412735731E-3</v>
      </c>
      <c r="Y76" s="63">
        <v>3.2570155053066141E-3</v>
      </c>
      <c r="Z76" s="63">
        <v>3.6171880824699765E-3</v>
      </c>
      <c r="AA76" s="63">
        <v>5.3184638794667545E-3</v>
      </c>
      <c r="AB76" s="63">
        <v>1.4807316550584074E-3</v>
      </c>
      <c r="AC76" s="63">
        <v>2.4061063777770925E-3</v>
      </c>
      <c r="AD76" s="63">
        <v>4.79895849892181E-3</v>
      </c>
      <c r="AE76" s="63">
        <v>2.3925885577822763E-3</v>
      </c>
    </row>
    <row r="77" spans="1:32" x14ac:dyDescent="0.3">
      <c r="A77" t="s">
        <v>47</v>
      </c>
      <c r="B77" s="63">
        <v>2.5121741960610232E-3</v>
      </c>
      <c r="C77" s="63">
        <v>6.9814373762061592E-3</v>
      </c>
      <c r="D77" s="63">
        <v>3.6876831000448064E-3</v>
      </c>
      <c r="E77" s="63">
        <v>4.3548694458652899E-3</v>
      </c>
      <c r="F77" s="63">
        <v>4.6889801407608367E-3</v>
      </c>
      <c r="G77" s="63">
        <v>4.8277599386552924E-3</v>
      </c>
      <c r="H77" s="63">
        <v>4.0367728553370114E-3</v>
      </c>
      <c r="I77" s="63">
        <v>9.0200465000047202E-3</v>
      </c>
      <c r="J77" s="63">
        <v>5.581256688822255E-3</v>
      </c>
      <c r="K77" s="63">
        <v>5.8062550746798662E-3</v>
      </c>
      <c r="L77" s="63">
        <v>7.6635933292960737E-4</v>
      </c>
      <c r="M77" s="63">
        <v>2.9149311017331405E-3</v>
      </c>
      <c r="N77" s="63">
        <v>7.0292604929197951E-3</v>
      </c>
      <c r="O77" s="63">
        <v>2.9703017364871953E-3</v>
      </c>
      <c r="P77" s="63">
        <v>7.5505871376871968E-3</v>
      </c>
      <c r="Q77" s="63">
        <v>1.6856041423807895E-3</v>
      </c>
      <c r="R77" s="63">
        <v>2.9414889786948837E-3</v>
      </c>
      <c r="S77" s="63">
        <v>2.6196467083653553E-3</v>
      </c>
      <c r="T77" s="63">
        <v>3.4821912214497261E-3</v>
      </c>
      <c r="U77" s="63">
        <v>5.578437815536093E-3</v>
      </c>
      <c r="V77" s="63">
        <v>9.1950664854352254E-4</v>
      </c>
      <c r="W77" s="63">
        <v>3.6206998005097451E-3</v>
      </c>
      <c r="X77" s="63">
        <v>2.683208156621143E-3</v>
      </c>
      <c r="Y77" s="63">
        <v>5.334291522989058E-3</v>
      </c>
      <c r="Z77" s="63">
        <v>5.9241768097018019E-3</v>
      </c>
      <c r="AA77" s="63">
        <v>8.7105009912724508E-3</v>
      </c>
      <c r="AB77" s="63">
        <v>2.4251202680891271E-3</v>
      </c>
      <c r="AC77" s="63">
        <v>3.9406852173330328E-3</v>
      </c>
      <c r="AD77" s="63">
        <v>7.8596628104062455E-3</v>
      </c>
      <c r="AE77" s="63">
        <v>3.9185459329206139E-3</v>
      </c>
    </row>
    <row r="78" spans="1:32" x14ac:dyDescent="0.3">
      <c r="A78" t="s">
        <v>12</v>
      </c>
      <c r="B78" s="63">
        <v>2.1207550695879727E-3</v>
      </c>
      <c r="C78" s="63">
        <v>5.8936672193413914E-3</v>
      </c>
      <c r="D78" s="63">
        <v>3.1131092110238136E-3</v>
      </c>
      <c r="E78" s="63">
        <v>3.6763419786707487E-3</v>
      </c>
      <c r="F78" s="63">
        <v>3.9583952499424192E-3</v>
      </c>
      <c r="G78" s="63">
        <v>4.0755519186171235E-3</v>
      </c>
      <c r="H78" s="63">
        <v>3.4078076715995083E-3</v>
      </c>
      <c r="I78" s="63">
        <v>5.581256688822255E-3</v>
      </c>
      <c r="J78" s="63">
        <v>8.9095290724769821E-3</v>
      </c>
      <c r="K78" s="63">
        <v>4.9015887927897133E-3</v>
      </c>
      <c r="L78" s="63">
        <v>6.4695371960465865E-4</v>
      </c>
      <c r="M78" s="63">
        <v>2.4607588602705514E-3</v>
      </c>
      <c r="N78" s="63">
        <v>5.9340390683051162E-3</v>
      </c>
      <c r="O78" s="63">
        <v>2.5075022567058332E-3</v>
      </c>
      <c r="P78" s="63">
        <v>6.3741383761219449E-3</v>
      </c>
      <c r="Q78" s="63">
        <v>1.4229719960811634E-3</v>
      </c>
      <c r="R78" s="63">
        <v>2.4831787833365644E-3</v>
      </c>
      <c r="S78" s="63">
        <v>2.211482406755969E-3</v>
      </c>
      <c r="T78" s="63">
        <v>2.9396347983127106E-3</v>
      </c>
      <c r="U78" s="63">
        <v>4.7092674927674688E-3</v>
      </c>
      <c r="V78" s="63">
        <v>7.7623931870493307E-4</v>
      </c>
      <c r="W78" s="63">
        <v>3.0565625064642938E-3</v>
      </c>
      <c r="X78" s="63">
        <v>2.2651404149586539E-3</v>
      </c>
      <c r="Y78" s="63">
        <v>4.503161368259033E-3</v>
      </c>
      <c r="Z78" s="63">
        <v>5.0011372706597985E-3</v>
      </c>
      <c r="AA78" s="63">
        <v>7.3533273149834506E-3</v>
      </c>
      <c r="AB78" s="63">
        <v>2.0472649193573793E-3</v>
      </c>
      <c r="AC78" s="63">
        <v>3.3266913438618909E-3</v>
      </c>
      <c r="AD78" s="63">
        <v>6.6350573047666977E-3</v>
      </c>
      <c r="AE78" s="63">
        <v>3.3080015572506342E-3</v>
      </c>
    </row>
    <row r="79" spans="1:32" x14ac:dyDescent="0.3">
      <c r="A79" t="s">
        <v>48</v>
      </c>
      <c r="B79" s="63">
        <v>2.2062495189674961E-3</v>
      </c>
      <c r="C79" s="63">
        <v>6.1312598772439537E-3</v>
      </c>
      <c r="D79" s="63">
        <v>3.2386086435945501E-3</v>
      </c>
      <c r="E79" s="63">
        <v>3.8245471333840405E-3</v>
      </c>
      <c r="F79" s="63">
        <v>4.1179708780634443E-3</v>
      </c>
      <c r="G79" s="63">
        <v>4.2398505083960578E-3</v>
      </c>
      <c r="H79" s="63">
        <v>3.5451873457791015E-3</v>
      </c>
      <c r="I79" s="63">
        <v>5.8062550746798662E-3</v>
      </c>
      <c r="J79" s="63">
        <v>4.9015887927897133E-3</v>
      </c>
      <c r="K79" s="63">
        <v>7.5997002586492262E-3</v>
      </c>
      <c r="L79" s="63">
        <v>6.730345022583485E-4</v>
      </c>
      <c r="M79" s="63">
        <v>2.5599599546503415E-3</v>
      </c>
      <c r="N79" s="63">
        <v>6.1732592451263328E-3</v>
      </c>
      <c r="O79" s="63">
        <v>2.6085877275502474E-3</v>
      </c>
      <c r="P79" s="63">
        <v>6.6311003697770207E-3</v>
      </c>
      <c r="Q79" s="63">
        <v>1.4803365682715184E-3</v>
      </c>
      <c r="R79" s="63">
        <v>2.5832836968349066E-3</v>
      </c>
      <c r="S79" s="63">
        <v>2.3006343665411401E-3</v>
      </c>
      <c r="T79" s="63">
        <v>3.0581409200533317E-3</v>
      </c>
      <c r="U79" s="63">
        <v>4.8991131930317929E-3</v>
      </c>
      <c r="V79" s="63">
        <v>8.0753201916388241E-4</v>
      </c>
      <c r="W79" s="63">
        <v>3.1797823597286461E-3</v>
      </c>
      <c r="X79" s="63">
        <v>2.3564555014206749E-3</v>
      </c>
      <c r="Y79" s="63">
        <v>4.6846982685674896E-3</v>
      </c>
      <c r="Z79" s="63">
        <v>5.2027491792474047E-3</v>
      </c>
      <c r="AA79" s="63">
        <v>7.6497635602232458E-3</v>
      </c>
      <c r="AB79" s="63">
        <v>2.1297967447079036E-3</v>
      </c>
      <c r="AC79" s="63">
        <v>3.4608009582995244E-3</v>
      </c>
      <c r="AD79" s="63">
        <v>6.9025377785881387E-3</v>
      </c>
      <c r="AE79" s="63">
        <v>3.441357726352564E-3</v>
      </c>
    </row>
    <row r="80" spans="1:32" x14ac:dyDescent="0.3">
      <c r="A80" t="s">
        <v>11</v>
      </c>
      <c r="B80" s="63">
        <v>2.9119972992668091E-4</v>
      </c>
      <c r="C80" s="63">
        <v>8.0925625366223049E-4</v>
      </c>
      <c r="D80" s="63">
        <v>4.2745933959196998E-4</v>
      </c>
      <c r="E80" s="63">
        <v>5.0479652585012176E-4</v>
      </c>
      <c r="F80" s="63">
        <v>5.4352510775807611E-4</v>
      </c>
      <c r="G80" s="63">
        <v>5.5961182647746677E-4</v>
      </c>
      <c r="H80" s="63">
        <v>4.6792422559416335E-4</v>
      </c>
      <c r="I80" s="63">
        <v>7.6635933292960737E-4</v>
      </c>
      <c r="J80" s="63">
        <v>6.4695371960465865E-4</v>
      </c>
      <c r="K80" s="63">
        <v>6.730345022583485E-4</v>
      </c>
      <c r="L80" s="63">
        <v>6.8071706223236331E-3</v>
      </c>
      <c r="M80" s="63">
        <v>3.3788546626682816E-4</v>
      </c>
      <c r="N80" s="63">
        <v>8.1479969037657075E-4</v>
      </c>
      <c r="O80" s="63">
        <v>3.4430377671342509E-4</v>
      </c>
      <c r="P80" s="63">
        <v>8.7522948795903206E-4</v>
      </c>
      <c r="Q80" s="63">
        <v>1.9538751404827236E-4</v>
      </c>
      <c r="R80" s="63">
        <v>3.4096393375957276E-4</v>
      </c>
      <c r="S80" s="63">
        <v>3.0365745145197724E-4</v>
      </c>
      <c r="T80" s="63">
        <v>4.0363966194268959E-4</v>
      </c>
      <c r="U80" s="63">
        <v>6.4662696872053811E-4</v>
      </c>
      <c r="V80" s="63">
        <v>1.0658500041179355E-4</v>
      </c>
      <c r="W80" s="63">
        <v>4.1969494221666393E-4</v>
      </c>
      <c r="X80" s="63">
        <v>3.1102520349514986E-4</v>
      </c>
      <c r="Y80" s="63">
        <v>6.1832664839889348E-4</v>
      </c>
      <c r="Z80" s="63">
        <v>6.8670344983559649E-4</v>
      </c>
      <c r="AA80" s="63">
        <v>1.0096813907895939E-3</v>
      </c>
      <c r="AB80" s="63">
        <v>2.8110883720346901E-4</v>
      </c>
      <c r="AC80" s="63">
        <v>4.5678618656807841E-4</v>
      </c>
      <c r="AD80" s="63">
        <v>9.1105612472801669E-4</v>
      </c>
      <c r="AE80" s="63">
        <v>4.5421990209155809E-4</v>
      </c>
    </row>
    <row r="81" spans="1:31" x14ac:dyDescent="0.3">
      <c r="A81" t="s">
        <v>13</v>
      </c>
      <c r="B81" s="63">
        <v>1.1076098549419513E-3</v>
      </c>
      <c r="C81" s="63">
        <v>3.0780942068709097E-3</v>
      </c>
      <c r="D81" s="63">
        <v>1.6258881051787128E-3</v>
      </c>
      <c r="E81" s="63">
        <v>1.920048507300575E-3</v>
      </c>
      <c r="F81" s="63">
        <v>2.0673568822086744E-3</v>
      </c>
      <c r="G81" s="63">
        <v>2.1285444670727208E-3</v>
      </c>
      <c r="H81" s="63">
        <v>1.7798007016169607E-3</v>
      </c>
      <c r="I81" s="63">
        <v>2.9149311017331405E-3</v>
      </c>
      <c r="J81" s="63">
        <v>2.4607588602705514E-3</v>
      </c>
      <c r="K81" s="63">
        <v>2.5599599546503415E-3</v>
      </c>
      <c r="L81" s="63">
        <v>3.3788546626682816E-4</v>
      </c>
      <c r="M81" s="63">
        <v>5.5403235477444347E-3</v>
      </c>
      <c r="N81" s="63">
        <v>3.0991792715328731E-3</v>
      </c>
      <c r="O81" s="63">
        <v>1.3095968745490977E-3</v>
      </c>
      <c r="P81" s="63">
        <v>3.329030581324039E-3</v>
      </c>
      <c r="Q81" s="63">
        <v>7.4317766759936395E-4</v>
      </c>
      <c r="R81" s="63">
        <v>1.2968934185033911E-3</v>
      </c>
      <c r="S81" s="63">
        <v>1.1549941541479116E-3</v>
      </c>
      <c r="T81" s="63">
        <v>1.5352873696885864E-3</v>
      </c>
      <c r="U81" s="63">
        <v>2.4595160277327121E-3</v>
      </c>
      <c r="V81" s="63">
        <v>4.0540764538077892E-4</v>
      </c>
      <c r="W81" s="63">
        <v>1.5963553750050284E-3</v>
      </c>
      <c r="X81" s="63">
        <v>1.1830182006463111E-3</v>
      </c>
      <c r="Y81" s="63">
        <v>2.3518726803499384E-3</v>
      </c>
      <c r="Z81" s="63">
        <v>2.6119512839247773E-3</v>
      </c>
      <c r="AA81" s="63">
        <v>3.8404330219386769E-3</v>
      </c>
      <c r="AB81" s="63">
        <v>1.0692280465927277E-3</v>
      </c>
      <c r="AC81" s="63">
        <v>1.7374359583765535E-3</v>
      </c>
      <c r="AD81" s="63">
        <v>3.4653010921680714E-3</v>
      </c>
      <c r="AE81" s="63">
        <v>1.7276748161615724E-3</v>
      </c>
    </row>
    <row r="82" spans="1:31" x14ac:dyDescent="0.3">
      <c r="A82" t="s">
        <v>49</v>
      </c>
      <c r="B82" s="63">
        <v>2.6709647409103171E-3</v>
      </c>
      <c r="C82" s="63">
        <v>7.4227229552624261E-3</v>
      </c>
      <c r="D82" s="63">
        <v>3.9207756975270175E-3</v>
      </c>
      <c r="E82" s="63">
        <v>4.6301338336377429E-3</v>
      </c>
      <c r="F82" s="63">
        <v>4.9853631354219467E-3</v>
      </c>
      <c r="G82" s="63">
        <v>5.1329149841384701E-3</v>
      </c>
      <c r="H82" s="63">
        <v>4.2919308623481749E-3</v>
      </c>
      <c r="I82" s="63">
        <v>7.0292604929197951E-3</v>
      </c>
      <c r="J82" s="63">
        <v>5.9340390683051162E-3</v>
      </c>
      <c r="K82" s="63">
        <v>6.1732592451263328E-3</v>
      </c>
      <c r="L82" s="63">
        <v>8.1479969037657075E-4</v>
      </c>
      <c r="M82" s="63">
        <v>3.0991792715328731E-3</v>
      </c>
      <c r="N82" s="63">
        <v>1.3239817835991196E-2</v>
      </c>
      <c r="O82" s="63">
        <v>3.1580497962527725E-3</v>
      </c>
      <c r="P82" s="63">
        <v>8.0278477700929194E-3</v>
      </c>
      <c r="Q82" s="63">
        <v>1.7921485056612292E-3</v>
      </c>
      <c r="R82" s="63">
        <v>3.127415829757806E-3</v>
      </c>
      <c r="S82" s="63">
        <v>2.7852304201900465E-3</v>
      </c>
      <c r="T82" s="63">
        <v>3.7022950033412899E-3</v>
      </c>
      <c r="U82" s="63">
        <v>5.9310420185112612E-3</v>
      </c>
      <c r="V82" s="63">
        <v>9.7762720481056392E-4</v>
      </c>
      <c r="W82" s="63">
        <v>3.849558489911197E-3</v>
      </c>
      <c r="X82" s="63">
        <v>2.8528094867367047E-3</v>
      </c>
      <c r="Y82" s="63">
        <v>5.6714636262008957E-3</v>
      </c>
      <c r="Z82" s="63">
        <v>6.2986346259117929E-3</v>
      </c>
      <c r="AA82" s="63">
        <v>9.2610779379201699E-3</v>
      </c>
      <c r="AB82" s="63">
        <v>2.5784082722803713E-3</v>
      </c>
      <c r="AC82" s="63">
        <v>4.1897696772088674E-3</v>
      </c>
      <c r="AD82" s="63">
        <v>8.3564596256720872E-3</v>
      </c>
      <c r="AE82" s="63">
        <v>4.1662310037572916E-3</v>
      </c>
    </row>
    <row r="83" spans="1:31" x14ac:dyDescent="0.3">
      <c r="A83" t="s">
        <v>14</v>
      </c>
      <c r="B83" s="63">
        <v>1.1286494811243739E-3</v>
      </c>
      <c r="C83" s="63">
        <v>3.136564209803701E-3</v>
      </c>
      <c r="D83" s="63">
        <v>1.6567726967113517E-3</v>
      </c>
      <c r="E83" s="63">
        <v>1.9565208289086559E-3</v>
      </c>
      <c r="F83" s="63">
        <v>2.106627403135566E-3</v>
      </c>
      <c r="G83" s="63">
        <v>2.1689772780485866E-3</v>
      </c>
      <c r="H83" s="63">
        <v>1.8136089430967159E-3</v>
      </c>
      <c r="I83" s="63">
        <v>2.9703017364871953E-3</v>
      </c>
      <c r="J83" s="63">
        <v>2.5075022567058332E-3</v>
      </c>
      <c r="K83" s="63">
        <v>2.6085877275502474E-3</v>
      </c>
      <c r="L83" s="63">
        <v>3.4430377671342509E-4</v>
      </c>
      <c r="M83" s="63">
        <v>1.3095968745490977E-3</v>
      </c>
      <c r="N83" s="63">
        <v>3.1580497962527725E-3</v>
      </c>
      <c r="O83" s="63">
        <v>9.5449097792667924E-3</v>
      </c>
      <c r="P83" s="63">
        <v>3.3922672514099888E-3</v>
      </c>
      <c r="Q83" s="63">
        <v>7.5729471453935774E-4</v>
      </c>
      <c r="R83" s="63">
        <v>1.3215285845792522E-3</v>
      </c>
      <c r="S83" s="63">
        <v>1.17693386977768E-3</v>
      </c>
      <c r="T83" s="63">
        <v>1.5644509530539001E-3</v>
      </c>
      <c r="U83" s="63">
        <v>2.5062358159165083E-3</v>
      </c>
      <c r="V83" s="63">
        <v>4.131085747940106E-4</v>
      </c>
      <c r="W83" s="63">
        <v>1.6266789769435171E-3</v>
      </c>
      <c r="X83" s="63">
        <v>1.2054902476378983E-3</v>
      </c>
      <c r="Y83" s="63">
        <v>2.3965477270754916E-3</v>
      </c>
      <c r="Z83" s="63">
        <v>2.6615666592081219E-3</v>
      </c>
      <c r="AA83" s="63">
        <v>3.9133840477892515E-3</v>
      </c>
      <c r="AB83" s="63">
        <v>1.0895385903313007E-3</v>
      </c>
      <c r="AC83" s="63">
        <v>1.7704394594893688E-3</v>
      </c>
      <c r="AD83" s="63">
        <v>3.5311262915949746E-3</v>
      </c>
      <c r="AE83" s="63">
        <v>1.7604928992931369E-3</v>
      </c>
    </row>
    <row r="84" spans="1:31" x14ac:dyDescent="0.3">
      <c r="A84" t="s">
        <v>17</v>
      </c>
      <c r="B84" s="63">
        <v>2.8690574262039328E-3</v>
      </c>
      <c r="C84" s="63">
        <v>7.9732308297682346E-3</v>
      </c>
      <c r="D84" s="63">
        <v>4.2115608862870789E-3</v>
      </c>
      <c r="E84" s="63">
        <v>4.9735287240029102E-3</v>
      </c>
      <c r="F84" s="63">
        <v>5.3551036847947365E-3</v>
      </c>
      <c r="G84" s="63">
        <v>5.5135987487041098E-3</v>
      </c>
      <c r="H84" s="63">
        <v>4.6102428552378038E-3</v>
      </c>
      <c r="I84" s="63">
        <v>7.5505871376871968E-3</v>
      </c>
      <c r="J84" s="63">
        <v>6.3741383761219449E-3</v>
      </c>
      <c r="K84" s="63">
        <v>6.6311003697770207E-3</v>
      </c>
      <c r="L84" s="63">
        <v>8.7522948795903206E-4</v>
      </c>
      <c r="M84" s="63">
        <v>3.329030581324039E-3</v>
      </c>
      <c r="N84" s="63">
        <v>8.0278477700929194E-3</v>
      </c>
      <c r="O84" s="63">
        <v>3.3922672514099888E-3</v>
      </c>
      <c r="P84" s="63">
        <v>1.8165350207832196E-2</v>
      </c>
      <c r="Q84" s="63">
        <v>1.9250635922940758E-3</v>
      </c>
      <c r="R84" s="63">
        <v>3.3593613100771536E-3</v>
      </c>
      <c r="S84" s="63">
        <v>2.991797644626289E-3</v>
      </c>
      <c r="T84" s="63">
        <v>3.976876523541761E-3</v>
      </c>
      <c r="U84" s="63">
        <v>6.3709190494733907E-3</v>
      </c>
      <c r="V84" s="63">
        <v>1.0501331406811412E-3</v>
      </c>
      <c r="W84" s="63">
        <v>4.1350618388627247E-3</v>
      </c>
      <c r="X84" s="63">
        <v>3.0643887274518669E-3</v>
      </c>
      <c r="Y84" s="63">
        <v>6.0920889688163508E-3</v>
      </c>
      <c r="Z84" s="63">
        <v>6.765774243151731E-3</v>
      </c>
      <c r="AA84" s="63">
        <v>9.9479278125504198E-3</v>
      </c>
      <c r="AB84" s="63">
        <v>2.7696364867963045E-3</v>
      </c>
      <c r="AC84" s="63">
        <v>4.5005048634162315E-3</v>
      </c>
      <c r="AD84" s="63">
        <v>8.9762182849469716E-3</v>
      </c>
      <c r="AE84" s="63">
        <v>4.4752204390901299E-3</v>
      </c>
    </row>
    <row r="85" spans="1:31" x14ac:dyDescent="0.3">
      <c r="A85" t="s">
        <v>50</v>
      </c>
      <c r="B85" s="63">
        <v>6.4049258609298685E-4</v>
      </c>
      <c r="C85" s="63">
        <v>1.7799557398303523E-3</v>
      </c>
      <c r="D85" s="63">
        <v>9.4019502673919149E-4</v>
      </c>
      <c r="E85" s="63">
        <v>1.110297843936551E-3</v>
      </c>
      <c r="F85" s="63">
        <v>1.1954811976030715E-3</v>
      </c>
      <c r="G85" s="63">
        <v>1.2308638680366161E-3</v>
      </c>
      <c r="H85" s="63">
        <v>1.0291973739873443E-3</v>
      </c>
      <c r="I85" s="63">
        <v>1.6856041423807895E-3</v>
      </c>
      <c r="J85" s="63">
        <v>1.4229719960811634E-3</v>
      </c>
      <c r="K85" s="63">
        <v>1.4803365682715184E-3</v>
      </c>
      <c r="L85" s="63">
        <v>1.9538751404827236E-4</v>
      </c>
      <c r="M85" s="63">
        <v>7.4317766759936395E-4</v>
      </c>
      <c r="N85" s="63">
        <v>1.7921485056612292E-3</v>
      </c>
      <c r="O85" s="63">
        <v>7.5729471453935774E-4</v>
      </c>
      <c r="P85" s="63">
        <v>1.9250635922940758E-3</v>
      </c>
      <c r="Q85" s="63">
        <v>3.1663608432768893E-3</v>
      </c>
      <c r="R85" s="63">
        <v>7.4994874395347875E-4</v>
      </c>
      <c r="S85" s="63">
        <v>6.6789329240055204E-4</v>
      </c>
      <c r="T85" s="63">
        <v>8.8780374553391634E-4</v>
      </c>
      <c r="U85" s="63">
        <v>1.4222533088803504E-3</v>
      </c>
      <c r="V85" s="63">
        <v>2.3443326190467325E-4</v>
      </c>
      <c r="W85" s="63">
        <v>9.2311726723846843E-4</v>
      </c>
      <c r="X85" s="63">
        <v>6.8409863215485641E-4</v>
      </c>
      <c r="Y85" s="63">
        <v>1.3600068728873158E-3</v>
      </c>
      <c r="Z85" s="63">
        <v>1.510401361206338E-3</v>
      </c>
      <c r="AA85" s="63">
        <v>2.2207899893300622E-3</v>
      </c>
      <c r="AB85" s="63">
        <v>6.1829770982059398E-4</v>
      </c>
      <c r="AC85" s="63">
        <v>1.0046993038084402E-3</v>
      </c>
      <c r="AD85" s="63">
        <v>2.0038641297841302E-3</v>
      </c>
      <c r="AE85" s="63">
        <v>9.9905477185289657E-4</v>
      </c>
    </row>
    <row r="86" spans="1:31" x14ac:dyDescent="0.3">
      <c r="A86" t="s">
        <v>51</v>
      </c>
      <c r="B86" s="63">
        <v>1.1177012654153148E-3</v>
      </c>
      <c r="C86" s="63">
        <v>3.1061386595079301E-3</v>
      </c>
      <c r="D86" s="63">
        <v>1.640701538067478E-3</v>
      </c>
      <c r="E86" s="63">
        <v>1.9375420295272749E-3</v>
      </c>
      <c r="F86" s="63">
        <v>2.0861925279915426E-3</v>
      </c>
      <c r="G86" s="63">
        <v>2.1479375916753935E-3</v>
      </c>
      <c r="H86" s="63">
        <v>1.7960164289876224E-3</v>
      </c>
      <c r="I86" s="63">
        <v>2.9414889786948837E-3</v>
      </c>
      <c r="J86" s="63">
        <v>2.4831787833365644E-3</v>
      </c>
      <c r="K86" s="63">
        <v>2.5832836968349066E-3</v>
      </c>
      <c r="L86" s="63">
        <v>3.4096393375957276E-4</v>
      </c>
      <c r="M86" s="63">
        <v>1.2968934185033911E-3</v>
      </c>
      <c r="N86" s="63">
        <v>3.127415829757806E-3</v>
      </c>
      <c r="O86" s="63">
        <v>1.3215285845792522E-3</v>
      </c>
      <c r="P86" s="63">
        <v>3.3593613100771536E-3</v>
      </c>
      <c r="Q86" s="63">
        <v>7.4994874395347875E-4</v>
      </c>
      <c r="R86" s="63">
        <v>3.938368401358641E-3</v>
      </c>
      <c r="S86" s="63">
        <v>1.1655172819910208E-3</v>
      </c>
      <c r="T86" s="63">
        <v>1.5492753411507128E-3</v>
      </c>
      <c r="U86" s="63">
        <v>2.4819246273771853E-3</v>
      </c>
      <c r="V86" s="63">
        <v>4.0910130605048437E-4</v>
      </c>
      <c r="W86" s="63">
        <v>1.6108997358001752E-3</v>
      </c>
      <c r="X86" s="63">
        <v>1.193796654997286E-3</v>
      </c>
      <c r="Y86" s="63">
        <v>2.3733005436834087E-3</v>
      </c>
      <c r="Z86" s="63">
        <v>2.6357487180347283E-3</v>
      </c>
      <c r="AA86" s="63">
        <v>3.8754231277479774E-3</v>
      </c>
      <c r="AB86" s="63">
        <v>1.0789697612042914E-3</v>
      </c>
      <c r="AC86" s="63">
        <v>1.7532657014480237E-3</v>
      </c>
      <c r="AD86" s="63">
        <v>3.4968733787262255E-3</v>
      </c>
      <c r="AE86" s="63">
        <v>1.7434156256682673E-3</v>
      </c>
    </row>
    <row r="87" spans="1:31" x14ac:dyDescent="0.3">
      <c r="A87" t="s">
        <v>52</v>
      </c>
      <c r="B87" s="63">
        <v>9.9540826502778372E-4</v>
      </c>
      <c r="C87" s="63">
        <v>2.7662812861249078E-3</v>
      </c>
      <c r="D87" s="63">
        <v>1.4611845955361899E-3</v>
      </c>
      <c r="E87" s="63">
        <v>1.7255463599332248E-3</v>
      </c>
      <c r="F87" s="63">
        <v>1.8579323018215971E-3</v>
      </c>
      <c r="G87" s="63">
        <v>1.9129215450275929E-3</v>
      </c>
      <c r="H87" s="63">
        <v>1.5995057470706777E-3</v>
      </c>
      <c r="I87" s="63">
        <v>2.6196467083653553E-3</v>
      </c>
      <c r="J87" s="63">
        <v>2.211482406755969E-3</v>
      </c>
      <c r="K87" s="63">
        <v>2.3006343665411401E-3</v>
      </c>
      <c r="L87" s="63">
        <v>3.0365745145197724E-4</v>
      </c>
      <c r="M87" s="63">
        <v>1.1549941541479116E-3</v>
      </c>
      <c r="N87" s="63">
        <v>2.7852304201900465E-3</v>
      </c>
      <c r="O87" s="63">
        <v>1.17693386977768E-3</v>
      </c>
      <c r="P87" s="63">
        <v>2.991797644626289E-3</v>
      </c>
      <c r="Q87" s="63">
        <v>6.6789329240055204E-4</v>
      </c>
      <c r="R87" s="63">
        <v>1.1655172819910208E-3</v>
      </c>
      <c r="S87" s="63">
        <v>2.9217116030641221E-3</v>
      </c>
      <c r="T87" s="63">
        <v>1.3797617727596676E-3</v>
      </c>
      <c r="U87" s="63">
        <v>2.210365473952698E-3</v>
      </c>
      <c r="V87" s="63">
        <v>3.6433959044056139E-4</v>
      </c>
      <c r="W87" s="63">
        <v>1.4346435499030582E-3</v>
      </c>
      <c r="X87" s="63">
        <v>1.0631776968645255E-3</v>
      </c>
      <c r="Y87" s="63">
        <v>2.1136264668176583E-3</v>
      </c>
      <c r="Z87" s="63">
        <v>2.3473589407570915E-3</v>
      </c>
      <c r="AA87" s="63">
        <v>3.4513946894448094E-3</v>
      </c>
      <c r="AB87" s="63">
        <v>9.6091455852358155E-4</v>
      </c>
      <c r="AC87" s="63">
        <v>1.5614325795386939E-3</v>
      </c>
      <c r="AD87" s="63">
        <v>3.1142638651718052E-3</v>
      </c>
      <c r="AE87" s="63">
        <v>1.552660247301353E-3</v>
      </c>
    </row>
    <row r="88" spans="1:31" x14ac:dyDescent="0.3">
      <c r="A88" t="s">
        <v>53</v>
      </c>
      <c r="B88" s="63">
        <v>1.3231562527762154E-3</v>
      </c>
      <c r="C88" s="63">
        <v>3.6771066800131902E-3</v>
      </c>
      <c r="D88" s="63">
        <v>1.9422940334838702E-3</v>
      </c>
      <c r="E88" s="63">
        <v>2.2936995158837235E-3</v>
      </c>
      <c r="F88" s="63">
        <v>2.4696748346986412E-3</v>
      </c>
      <c r="G88" s="63">
        <v>2.5427698285215169E-3</v>
      </c>
      <c r="H88" s="63">
        <v>2.1261587882525634E-3</v>
      </c>
      <c r="I88" s="63">
        <v>3.4821912214497261E-3</v>
      </c>
      <c r="J88" s="63">
        <v>2.9396347983127106E-3</v>
      </c>
      <c r="K88" s="63">
        <v>3.0581409200533317E-3</v>
      </c>
      <c r="L88" s="63">
        <v>4.0363966194268959E-4</v>
      </c>
      <c r="M88" s="63">
        <v>1.5352873696885864E-3</v>
      </c>
      <c r="N88" s="63">
        <v>3.7022950033412899E-3</v>
      </c>
      <c r="O88" s="63">
        <v>1.5644509530539001E-3</v>
      </c>
      <c r="P88" s="63">
        <v>3.976876523541761E-3</v>
      </c>
      <c r="Q88" s="63">
        <v>8.8780374553391634E-4</v>
      </c>
      <c r="R88" s="63">
        <v>1.5492753411507128E-3</v>
      </c>
      <c r="S88" s="63">
        <v>1.3797617727596676E-3</v>
      </c>
      <c r="T88" s="63">
        <v>1.2888134866958506E-2</v>
      </c>
      <c r="U88" s="63">
        <v>2.9381501043690278E-3</v>
      </c>
      <c r="V88" s="63">
        <v>4.843019936266036E-4</v>
      </c>
      <c r="W88" s="63">
        <v>1.9070140868343243E-3</v>
      </c>
      <c r="X88" s="63">
        <v>1.4132394383717997E-3</v>
      </c>
      <c r="Y88" s="63">
        <v>2.8095588251168726E-3</v>
      </c>
      <c r="Z88" s="63">
        <v>3.1202500211169205E-3</v>
      </c>
      <c r="AA88" s="63">
        <v>4.5878004278074366E-3</v>
      </c>
      <c r="AB88" s="63">
        <v>1.2773051532364815E-3</v>
      </c>
      <c r="AC88" s="63">
        <v>2.0755496548418269E-3</v>
      </c>
      <c r="AD88" s="63">
        <v>4.1396659549356703E-3</v>
      </c>
      <c r="AE88" s="63">
        <v>2.063888945704613E-3</v>
      </c>
    </row>
    <row r="89" spans="1:31" x14ac:dyDescent="0.3">
      <c r="A89" t="s">
        <v>15</v>
      </c>
      <c r="B89" s="63">
        <v>2.1196839595951059E-3</v>
      </c>
      <c r="C89" s="63">
        <v>5.8906905597809383E-3</v>
      </c>
      <c r="D89" s="63">
        <v>3.111536901975668E-3</v>
      </c>
      <c r="E89" s="63">
        <v>3.6744852028992238E-3</v>
      </c>
      <c r="F89" s="63">
        <v>3.9563960201545335E-3</v>
      </c>
      <c r="G89" s="63">
        <v>4.0734935176027489E-3</v>
      </c>
      <c r="H89" s="63">
        <v>3.4060865219471218E-3</v>
      </c>
      <c r="I89" s="63">
        <v>5.578437815536093E-3</v>
      </c>
      <c r="J89" s="63">
        <v>4.7092674927674688E-3</v>
      </c>
      <c r="K89" s="63">
        <v>4.8991131930317929E-3</v>
      </c>
      <c r="L89" s="63">
        <v>6.4662696872053811E-4</v>
      </c>
      <c r="M89" s="63">
        <v>2.4595160277327121E-3</v>
      </c>
      <c r="N89" s="63">
        <v>5.9310420185112612E-3</v>
      </c>
      <c r="O89" s="63">
        <v>2.5062358159165083E-3</v>
      </c>
      <c r="P89" s="63">
        <v>6.3709190494733907E-3</v>
      </c>
      <c r="Q89" s="63">
        <v>1.4222533088803504E-3</v>
      </c>
      <c r="R89" s="63">
        <v>2.4819246273771853E-3</v>
      </c>
      <c r="S89" s="63">
        <v>2.210365473952698E-3</v>
      </c>
      <c r="T89" s="63">
        <v>2.9381501043690278E-3</v>
      </c>
      <c r="U89" s="63">
        <v>9.4303389923153166E-3</v>
      </c>
      <c r="V89" s="63">
        <v>7.7584727074850291E-4</v>
      </c>
      <c r="W89" s="63">
        <v>3.0550187569330801E-3</v>
      </c>
      <c r="X89" s="63">
        <v>2.2639963816053913E-3</v>
      </c>
      <c r="Y89" s="63">
        <v>4.500886998526194E-3</v>
      </c>
      <c r="Z89" s="63">
        <v>4.998611392880172E-3</v>
      </c>
      <c r="AA89" s="63">
        <v>7.349613438505753E-3</v>
      </c>
      <c r="AB89" s="63">
        <v>2.0462309263495986E-3</v>
      </c>
      <c r="AC89" s="63">
        <v>3.3250111628769711E-3</v>
      </c>
      <c r="AD89" s="63">
        <v>6.6317061982271953E-3</v>
      </c>
      <c r="AE89" s="63">
        <v>3.3063308157420075E-3</v>
      </c>
    </row>
    <row r="90" spans="1:31" x14ac:dyDescent="0.3">
      <c r="A90" t="s">
        <v>54</v>
      </c>
      <c r="B90" s="63">
        <v>3.4939234927573579E-4</v>
      </c>
      <c r="C90" s="63">
        <v>9.7097598168898889E-4</v>
      </c>
      <c r="D90" s="63">
        <v>5.1288173556169486E-4</v>
      </c>
      <c r="E90" s="63">
        <v>6.0567379000458263E-4</v>
      </c>
      <c r="F90" s="63">
        <v>6.5214179401112808E-4</v>
      </c>
      <c r="G90" s="63">
        <v>6.7144324201357289E-4</v>
      </c>
      <c r="H90" s="63">
        <v>5.6143302229208058E-4</v>
      </c>
      <c r="I90" s="63">
        <v>9.1950664854352254E-4</v>
      </c>
      <c r="J90" s="63">
        <v>7.7623931870493307E-4</v>
      </c>
      <c r="K90" s="63">
        <v>8.0753201916388241E-4</v>
      </c>
      <c r="L90" s="63">
        <v>1.0658500041179355E-4</v>
      </c>
      <c r="M90" s="63">
        <v>4.0540764538077892E-4</v>
      </c>
      <c r="N90" s="63">
        <v>9.7762720481056392E-4</v>
      </c>
      <c r="O90" s="63">
        <v>4.131085747940106E-4</v>
      </c>
      <c r="P90" s="63">
        <v>1.0501331406811412E-3</v>
      </c>
      <c r="Q90" s="63">
        <v>2.3443326190467325E-4</v>
      </c>
      <c r="R90" s="63">
        <v>4.0910130605048437E-4</v>
      </c>
      <c r="S90" s="63">
        <v>3.6433959044056139E-4</v>
      </c>
      <c r="T90" s="63">
        <v>4.843019936266036E-4</v>
      </c>
      <c r="U90" s="63">
        <v>7.7584727074850291E-4</v>
      </c>
      <c r="V90" s="63">
        <v>3.6183920007446723E-3</v>
      </c>
      <c r="W90" s="63">
        <v>5.0356572060401763E-4</v>
      </c>
      <c r="X90" s="63">
        <v>3.731796954636441E-4</v>
      </c>
      <c r="Y90" s="63">
        <v>7.4189148581379539E-4</v>
      </c>
      <c r="Z90" s="63">
        <v>8.2393253473903093E-4</v>
      </c>
      <c r="AA90" s="63">
        <v>1.2114535725592573E-3</v>
      </c>
      <c r="AB90" s="63">
        <v>3.372849180094357E-4</v>
      </c>
      <c r="AC90" s="63">
        <v>5.4806918564762888E-4</v>
      </c>
      <c r="AD90" s="63">
        <v>1.093119282153579E-3</v>
      </c>
      <c r="AE90" s="63">
        <v>5.4499006135590286E-4</v>
      </c>
    </row>
    <row r="91" spans="1:31" x14ac:dyDescent="0.3">
      <c r="A91" t="s">
        <v>55</v>
      </c>
      <c r="B91" s="63">
        <v>1.3757864734595337E-3</v>
      </c>
      <c r="C91" s="63">
        <v>3.8233682690274463E-3</v>
      </c>
      <c r="D91" s="63">
        <v>2.0195512458498822E-3</v>
      </c>
      <c r="E91" s="63">
        <v>2.3849343276823249E-3</v>
      </c>
      <c r="F91" s="63">
        <v>2.5679092883344134E-3</v>
      </c>
      <c r="G91" s="63">
        <v>2.6439117283849531E-3</v>
      </c>
      <c r="H91" s="63">
        <v>2.2107294547923035E-3</v>
      </c>
      <c r="I91" s="63">
        <v>3.6206998005097451E-3</v>
      </c>
      <c r="J91" s="63">
        <v>3.0565625064642938E-3</v>
      </c>
      <c r="K91" s="63">
        <v>3.1797823597286461E-3</v>
      </c>
      <c r="L91" s="63">
        <v>4.1969494221666393E-4</v>
      </c>
      <c r="M91" s="63">
        <v>1.5963553750050284E-3</v>
      </c>
      <c r="N91" s="63">
        <v>3.849558489911197E-3</v>
      </c>
      <c r="O91" s="63">
        <v>1.6266789769435171E-3</v>
      </c>
      <c r="P91" s="63">
        <v>4.1350618388627247E-3</v>
      </c>
      <c r="Q91" s="63">
        <v>9.2311726723846843E-4</v>
      </c>
      <c r="R91" s="63">
        <v>1.6108997358001752E-3</v>
      </c>
      <c r="S91" s="63">
        <v>1.4346435499030582E-3</v>
      </c>
      <c r="T91" s="63">
        <v>1.9070140868343243E-3</v>
      </c>
      <c r="U91" s="63">
        <v>3.0550187569330801E-3</v>
      </c>
      <c r="V91" s="63">
        <v>5.0356572060401763E-4</v>
      </c>
      <c r="W91" s="63">
        <v>5.3473114548986712E-3</v>
      </c>
      <c r="X91" s="63">
        <v>1.4694528321896624E-3</v>
      </c>
      <c r="Y91" s="63">
        <v>2.9213125962065782E-3</v>
      </c>
      <c r="Z91" s="63">
        <v>3.2443619291806516E-3</v>
      </c>
      <c r="AA91" s="63">
        <v>4.7702860174420004E-3</v>
      </c>
      <c r="AB91" s="63">
        <v>1.3281115881935972E-3</v>
      </c>
      <c r="AC91" s="63">
        <v>2.1581072788142888E-3</v>
      </c>
      <c r="AD91" s="63">
        <v>4.3043264266723613E-3</v>
      </c>
      <c r="AE91" s="63">
        <v>2.145982750159215E-3</v>
      </c>
    </row>
    <row r="92" spans="1:31" x14ac:dyDescent="0.3">
      <c r="A92" t="s">
        <v>56</v>
      </c>
      <c r="B92" s="63">
        <v>1.0195602206059565E-3</v>
      </c>
      <c r="C92" s="63">
        <v>2.8334005828863783E-3</v>
      </c>
      <c r="D92" s="63">
        <v>1.4966378529409953E-3</v>
      </c>
      <c r="E92" s="63">
        <v>1.7674139237232663E-3</v>
      </c>
      <c r="F92" s="63">
        <v>1.9030119942426715E-3</v>
      </c>
      <c r="G92" s="63">
        <v>1.9593354616116057E-3</v>
      </c>
      <c r="H92" s="63">
        <v>1.6383151412735731E-3</v>
      </c>
      <c r="I92" s="63">
        <v>2.683208156621143E-3</v>
      </c>
      <c r="J92" s="63">
        <v>2.2651404149586539E-3</v>
      </c>
      <c r="K92" s="63">
        <v>2.3564555014206749E-3</v>
      </c>
      <c r="L92" s="63">
        <v>3.1102520349514986E-4</v>
      </c>
      <c r="M92" s="63">
        <v>1.1830182006463111E-3</v>
      </c>
      <c r="N92" s="63">
        <v>2.8528094867367047E-3</v>
      </c>
      <c r="O92" s="63">
        <v>1.2054902476378983E-3</v>
      </c>
      <c r="P92" s="63">
        <v>3.0643887274518669E-3</v>
      </c>
      <c r="Q92" s="63">
        <v>6.8409863215485641E-4</v>
      </c>
      <c r="R92" s="63">
        <v>1.193796654997286E-3</v>
      </c>
      <c r="S92" s="63">
        <v>1.0631776968645255E-3</v>
      </c>
      <c r="T92" s="63">
        <v>1.4132394383717997E-3</v>
      </c>
      <c r="U92" s="63">
        <v>2.2639963816053913E-3</v>
      </c>
      <c r="V92" s="63">
        <v>3.731796954636441E-4</v>
      </c>
      <c r="W92" s="63">
        <v>1.4694528321896624E-3</v>
      </c>
      <c r="X92" s="63">
        <v>5.5802055211083132E-3</v>
      </c>
      <c r="Y92" s="63">
        <v>2.1649101604827954E-3</v>
      </c>
      <c r="Z92" s="63">
        <v>2.4043137711066364E-3</v>
      </c>
      <c r="AA92" s="63">
        <v>3.5351371438234521E-3</v>
      </c>
      <c r="AB92" s="63">
        <v>9.8422958065797514E-4</v>
      </c>
      <c r="AC92" s="63">
        <v>1.5993181905229247E-3</v>
      </c>
      <c r="AD92" s="63">
        <v>3.1898263907936307E-3</v>
      </c>
      <c r="AE92" s="63">
        <v>1.5903330119732143E-3</v>
      </c>
    </row>
    <row r="93" spans="1:31" x14ac:dyDescent="0.3">
      <c r="A93" t="s">
        <v>57</v>
      </c>
      <c r="B93" s="63">
        <v>2.026913725845206E-3</v>
      </c>
      <c r="C93" s="63">
        <v>5.6328781921845946E-3</v>
      </c>
      <c r="D93" s="63">
        <v>2.9753571642317164E-3</v>
      </c>
      <c r="E93" s="63">
        <v>3.5136674311552585E-3</v>
      </c>
      <c r="F93" s="63">
        <v>3.783240120221687E-3</v>
      </c>
      <c r="G93" s="63">
        <v>3.8952127205546389E-3</v>
      </c>
      <c r="H93" s="63">
        <v>3.2570155053066141E-3</v>
      </c>
      <c r="I93" s="63">
        <v>5.334291522989058E-3</v>
      </c>
      <c r="J93" s="63">
        <v>4.503161368259033E-3</v>
      </c>
      <c r="K93" s="63">
        <v>4.6846982685674896E-3</v>
      </c>
      <c r="L93" s="63">
        <v>6.1832664839889348E-4</v>
      </c>
      <c r="M93" s="63">
        <v>2.3518726803499384E-3</v>
      </c>
      <c r="N93" s="63">
        <v>5.6714636262008957E-3</v>
      </c>
      <c r="O93" s="63">
        <v>2.3965477270754916E-3</v>
      </c>
      <c r="P93" s="63">
        <v>6.0920889688163508E-3</v>
      </c>
      <c r="Q93" s="63">
        <v>1.3600068728873158E-3</v>
      </c>
      <c r="R93" s="63">
        <v>2.3733005436834087E-3</v>
      </c>
      <c r="S93" s="63">
        <v>2.1136264668176583E-3</v>
      </c>
      <c r="T93" s="63">
        <v>2.8095588251168726E-3</v>
      </c>
      <c r="U93" s="63">
        <v>4.500886998526194E-3</v>
      </c>
      <c r="V93" s="63">
        <v>7.4189148581379539E-4</v>
      </c>
      <c r="W93" s="63">
        <v>2.9213125962065782E-3</v>
      </c>
      <c r="X93" s="63">
        <v>2.1649101604827954E-3</v>
      </c>
      <c r="Y93" s="63">
        <v>5.7848069594524775E-3</v>
      </c>
      <c r="Z93" s="63">
        <v>4.7798418233680334E-3</v>
      </c>
      <c r="AA93" s="63">
        <v>7.0279497520041928E-3</v>
      </c>
      <c r="AB93" s="63">
        <v>1.9566754430972804E-3</v>
      </c>
      <c r="AC93" s="63">
        <v>3.1794884959695682E-3</v>
      </c>
      <c r="AD93" s="63">
        <v>6.3414624893076282E-3</v>
      </c>
      <c r="AE93" s="63">
        <v>3.1616257141902299E-3</v>
      </c>
    </row>
    <row r="94" spans="1:31" x14ac:dyDescent="0.3">
      <c r="A94" t="s">
        <v>58</v>
      </c>
      <c r="B94" s="63">
        <v>2.2510571906632325E-3</v>
      </c>
      <c r="C94" s="63">
        <v>6.2557822747782797E-3</v>
      </c>
      <c r="D94" s="63">
        <v>3.3043829413816248E-3</v>
      </c>
      <c r="E94" s="63">
        <v>3.9022215083195379E-3</v>
      </c>
      <c r="F94" s="63">
        <v>4.2016045222050286E-3</v>
      </c>
      <c r="G94" s="63">
        <v>4.3259594584427056E-3</v>
      </c>
      <c r="H94" s="63">
        <v>3.6171880824699765E-3</v>
      </c>
      <c r="I94" s="63">
        <v>5.9241768097018019E-3</v>
      </c>
      <c r="J94" s="63">
        <v>5.0011372706597985E-3</v>
      </c>
      <c r="K94" s="63">
        <v>5.2027491792474047E-3</v>
      </c>
      <c r="L94" s="63">
        <v>6.8670344983559649E-4</v>
      </c>
      <c r="M94" s="63">
        <v>2.6119512839247773E-3</v>
      </c>
      <c r="N94" s="63">
        <v>6.2986346259117929E-3</v>
      </c>
      <c r="O94" s="63">
        <v>2.6615666592081219E-3</v>
      </c>
      <c r="P94" s="63">
        <v>6.765774243151731E-3</v>
      </c>
      <c r="Q94" s="63">
        <v>1.510401361206338E-3</v>
      </c>
      <c r="R94" s="63">
        <v>2.6357487180347283E-3</v>
      </c>
      <c r="S94" s="63">
        <v>2.3473589407570915E-3</v>
      </c>
      <c r="T94" s="63">
        <v>3.1202500211169205E-3</v>
      </c>
      <c r="U94" s="63">
        <v>4.998611392880172E-3</v>
      </c>
      <c r="V94" s="63">
        <v>8.2393253473903093E-4</v>
      </c>
      <c r="W94" s="63">
        <v>3.2443619291806516E-3</v>
      </c>
      <c r="X94" s="63">
        <v>2.4043137711066364E-3</v>
      </c>
      <c r="Y94" s="63">
        <v>4.7798418233680334E-3</v>
      </c>
      <c r="Z94" s="63">
        <v>8.845875820474091E-3</v>
      </c>
      <c r="AA94" s="63">
        <v>7.8051259030632808E-3</v>
      </c>
      <c r="AB94" s="63">
        <v>2.1730517040835689E-3</v>
      </c>
      <c r="AC94" s="63">
        <v>3.5310878555024961E-3</v>
      </c>
      <c r="AD94" s="63">
        <v>7.0427243912044388E-3</v>
      </c>
      <c r="AE94" s="63">
        <v>3.5112497425838717E-3</v>
      </c>
    </row>
    <row r="95" spans="1:31" x14ac:dyDescent="0.3">
      <c r="A95" t="s">
        <v>59</v>
      </c>
      <c r="B95" s="63">
        <v>3.3097992380261253E-3</v>
      </c>
      <c r="C95" s="63">
        <v>9.1980707963346016E-3</v>
      </c>
      <c r="D95" s="63">
        <v>4.8585367741408149E-3</v>
      </c>
      <c r="E95" s="63">
        <v>5.7375573701172059E-3</v>
      </c>
      <c r="F95" s="63">
        <v>6.1777495053264462E-3</v>
      </c>
      <c r="G95" s="63">
        <v>6.3605924268263581E-3</v>
      </c>
      <c r="H95" s="63">
        <v>5.3184638794667545E-3</v>
      </c>
      <c r="I95" s="63">
        <v>8.7105009912724508E-3</v>
      </c>
      <c r="J95" s="63">
        <v>7.3533273149834506E-3</v>
      </c>
      <c r="K95" s="63">
        <v>7.6497635602232458E-3</v>
      </c>
      <c r="L95" s="63">
        <v>1.0096813907895939E-3</v>
      </c>
      <c r="M95" s="63">
        <v>3.8404330219386769E-3</v>
      </c>
      <c r="N95" s="63">
        <v>9.2610779379201699E-3</v>
      </c>
      <c r="O95" s="63">
        <v>3.9133840477892515E-3</v>
      </c>
      <c r="P95" s="63">
        <v>9.9479278125504198E-3</v>
      </c>
      <c r="Q95" s="63">
        <v>2.2207899893300622E-3</v>
      </c>
      <c r="R95" s="63">
        <v>3.8754231277479774E-3</v>
      </c>
      <c r="S95" s="63">
        <v>3.4513946894448094E-3</v>
      </c>
      <c r="T95" s="63">
        <v>4.5878004278074366E-3</v>
      </c>
      <c r="U95" s="63">
        <v>7.349613438505753E-3</v>
      </c>
      <c r="V95" s="63">
        <v>1.2114535725592573E-3</v>
      </c>
      <c r="W95" s="63">
        <v>4.7702860174420004E-3</v>
      </c>
      <c r="X95" s="63">
        <v>3.5351371438234521E-3</v>
      </c>
      <c r="Y95" s="63">
        <v>7.0279497520041928E-3</v>
      </c>
      <c r="Z95" s="63">
        <v>7.8051259030632808E-3</v>
      </c>
      <c r="AA95" s="63">
        <v>2.2541525873213404E-2</v>
      </c>
      <c r="AB95" s="63">
        <v>3.1951053505877699E-3</v>
      </c>
      <c r="AC95" s="63">
        <v>5.191868044055358E-3</v>
      </c>
      <c r="AD95" s="63">
        <v>1.0355136209031009E-2</v>
      </c>
      <c r="AE95" s="63">
        <v>5.1626994510519109E-3</v>
      </c>
    </row>
    <row r="96" spans="1:31" x14ac:dyDescent="0.3">
      <c r="A96" t="s">
        <v>16</v>
      </c>
      <c r="B96" s="63">
        <v>9.2149248630882155E-4</v>
      </c>
      <c r="C96" s="63">
        <v>2.5608662392507418E-3</v>
      </c>
      <c r="D96" s="63">
        <v>1.3526817821421355E-3</v>
      </c>
      <c r="E96" s="63">
        <v>1.5974129021438476E-3</v>
      </c>
      <c r="F96" s="63">
        <v>1.7199682947692506E-3</v>
      </c>
      <c r="G96" s="63">
        <v>1.7708742157088555E-3</v>
      </c>
      <c r="H96" s="63">
        <v>1.4807316550584074E-3</v>
      </c>
      <c r="I96" s="63">
        <v>2.4251202680891271E-3</v>
      </c>
      <c r="J96" s="63">
        <v>2.0472649193573793E-3</v>
      </c>
      <c r="K96" s="63">
        <v>2.1297967447079036E-3</v>
      </c>
      <c r="L96" s="63">
        <v>2.8110883720346901E-4</v>
      </c>
      <c r="M96" s="63">
        <v>1.0692280465927277E-3</v>
      </c>
      <c r="N96" s="63">
        <v>2.5784082722803713E-3</v>
      </c>
      <c r="O96" s="63">
        <v>1.0895385903313007E-3</v>
      </c>
      <c r="P96" s="63">
        <v>2.7696364867963045E-3</v>
      </c>
      <c r="Q96" s="63">
        <v>6.1829770982059398E-4</v>
      </c>
      <c r="R96" s="63">
        <v>1.0789697612042914E-3</v>
      </c>
      <c r="S96" s="63">
        <v>9.6091455852358155E-4</v>
      </c>
      <c r="T96" s="63">
        <v>1.2773051532364815E-3</v>
      </c>
      <c r="U96" s="63">
        <v>2.0462309263495986E-3</v>
      </c>
      <c r="V96" s="63">
        <v>3.372849180094357E-4</v>
      </c>
      <c r="W96" s="63">
        <v>1.3281115881935972E-3</v>
      </c>
      <c r="X96" s="63">
        <v>9.8422958065797514E-4</v>
      </c>
      <c r="Y96" s="63">
        <v>1.9566754430972804E-3</v>
      </c>
      <c r="Z96" s="63">
        <v>2.1730517040835689E-3</v>
      </c>
      <c r="AA96" s="63">
        <v>3.1951053505877699E-3</v>
      </c>
      <c r="AB96" s="63">
        <v>7.2960460110875957E-3</v>
      </c>
      <c r="AC96" s="63">
        <v>1.4454856770578924E-3</v>
      </c>
      <c r="AD96" s="63">
        <v>2.883008764307163E-3</v>
      </c>
      <c r="AE96" s="63">
        <v>1.4373647496674726E-3</v>
      </c>
    </row>
    <row r="97" spans="1:32" x14ac:dyDescent="0.3">
      <c r="A97" t="s">
        <v>60</v>
      </c>
      <c r="B97" s="63">
        <v>1.497373910260511E-3</v>
      </c>
      <c r="C97" s="63">
        <v>4.1612648516332279E-3</v>
      </c>
      <c r="D97" s="63">
        <v>2.1980324740114333E-3</v>
      </c>
      <c r="E97" s="63">
        <v>2.5957068984522502E-3</v>
      </c>
      <c r="F97" s="63">
        <v>2.7948525781029813E-3</v>
      </c>
      <c r="G97" s="63">
        <v>2.8775718612499119E-3</v>
      </c>
      <c r="H97" s="63">
        <v>2.4061063777770925E-3</v>
      </c>
      <c r="I97" s="63">
        <v>3.9406852173330328E-3</v>
      </c>
      <c r="J97" s="63">
        <v>3.3266913438618909E-3</v>
      </c>
      <c r="K97" s="63">
        <v>3.4608009582995244E-3</v>
      </c>
      <c r="L97" s="63">
        <v>4.5678618656807841E-4</v>
      </c>
      <c r="M97" s="63">
        <v>1.7374359583765535E-3</v>
      </c>
      <c r="N97" s="63">
        <v>4.1897696772088674E-3</v>
      </c>
      <c r="O97" s="63">
        <v>1.7704394594893688E-3</v>
      </c>
      <c r="P97" s="63">
        <v>4.5005048634162315E-3</v>
      </c>
      <c r="Q97" s="63">
        <v>1.0046993038084402E-3</v>
      </c>
      <c r="R97" s="63">
        <v>1.7532657014480237E-3</v>
      </c>
      <c r="S97" s="63">
        <v>1.5614325795386939E-3</v>
      </c>
      <c r="T97" s="63">
        <v>2.0755496548418269E-3</v>
      </c>
      <c r="U97" s="63">
        <v>3.3250111628769711E-3</v>
      </c>
      <c r="V97" s="63">
        <v>5.4806918564762888E-4</v>
      </c>
      <c r="W97" s="63">
        <v>2.1581072788142888E-3</v>
      </c>
      <c r="X97" s="63">
        <v>1.5993181905229247E-3</v>
      </c>
      <c r="Y97" s="63">
        <v>3.1794884959695682E-3</v>
      </c>
      <c r="Z97" s="63">
        <v>3.5310878555024961E-3</v>
      </c>
      <c r="AA97" s="63">
        <v>5.191868044055358E-3</v>
      </c>
      <c r="AB97" s="63">
        <v>1.4454856770578924E-3</v>
      </c>
      <c r="AC97" s="63">
        <v>4.1593914991968958E-3</v>
      </c>
      <c r="AD97" s="63">
        <v>4.6847284930321125E-3</v>
      </c>
      <c r="AE97" s="63">
        <v>2.3356375745411219E-3</v>
      </c>
    </row>
    <row r="98" spans="1:32" x14ac:dyDescent="0.3">
      <c r="A98" t="s">
        <v>61</v>
      </c>
      <c r="B98" s="63">
        <v>2.9864993996429924E-3</v>
      </c>
      <c r="C98" s="63">
        <v>8.2996069959546601E-3</v>
      </c>
      <c r="D98" s="63">
        <v>4.3839568854841865E-3</v>
      </c>
      <c r="E98" s="63">
        <v>5.1771151084955957E-3</v>
      </c>
      <c r="F98" s="63">
        <v>5.5743094556409455E-3</v>
      </c>
      <c r="G98" s="63">
        <v>5.7392923552122537E-3</v>
      </c>
      <c r="H98" s="63">
        <v>4.79895849892181E-3</v>
      </c>
      <c r="I98" s="63">
        <v>7.8596628104062455E-3</v>
      </c>
      <c r="J98" s="63">
        <v>6.6350573047666977E-3</v>
      </c>
      <c r="K98" s="63">
        <v>6.9025377785881387E-3</v>
      </c>
      <c r="L98" s="63">
        <v>9.1105612472801669E-4</v>
      </c>
      <c r="M98" s="63">
        <v>3.4653010921680714E-3</v>
      </c>
      <c r="N98" s="63">
        <v>8.3564596256720872E-3</v>
      </c>
      <c r="O98" s="63">
        <v>3.5311262915949746E-3</v>
      </c>
      <c r="P98" s="63">
        <v>8.9762182849469716E-3</v>
      </c>
      <c r="Q98" s="63">
        <v>2.0038641297841302E-3</v>
      </c>
      <c r="R98" s="63">
        <v>3.4968733787262255E-3</v>
      </c>
      <c r="S98" s="63">
        <v>3.1142638651718052E-3</v>
      </c>
      <c r="T98" s="63">
        <v>4.1396659549356703E-3</v>
      </c>
      <c r="U98" s="63">
        <v>6.6317061982271953E-3</v>
      </c>
      <c r="V98" s="63">
        <v>1.093119282153579E-3</v>
      </c>
      <c r="W98" s="63">
        <v>4.3043264266723613E-3</v>
      </c>
      <c r="X98" s="63">
        <v>3.1898263907936307E-3</v>
      </c>
      <c r="Y98" s="63">
        <v>6.3414624893076282E-3</v>
      </c>
      <c r="Z98" s="63">
        <v>7.0427243912044388E-3</v>
      </c>
      <c r="AA98" s="63">
        <v>1.0355136209031009E-2</v>
      </c>
      <c r="AB98" s="63">
        <v>2.883008764307163E-3</v>
      </c>
      <c r="AC98" s="63">
        <v>4.6847284930321125E-3</v>
      </c>
      <c r="AD98" s="63">
        <v>1.9090064164384024E-2</v>
      </c>
      <c r="AE98" s="63">
        <v>4.658409076285501E-3</v>
      </c>
    </row>
    <row r="99" spans="1:32" ht="14.5" thickBot="1" x14ac:dyDescent="0.35">
      <c r="A99" s="10" t="s">
        <v>62</v>
      </c>
      <c r="B99" s="64">
        <v>1.4889614679966174E-3</v>
      </c>
      <c r="C99" s="64">
        <v>4.1378863220159707E-3</v>
      </c>
      <c r="D99" s="64">
        <v>2.1856836403934049E-3</v>
      </c>
      <c r="E99" s="64">
        <v>2.5811238779604477E-3</v>
      </c>
      <c r="F99" s="64">
        <v>2.7791507311639659E-3</v>
      </c>
      <c r="G99" s="64">
        <v>2.8614052865706735E-3</v>
      </c>
      <c r="H99" s="64">
        <v>2.3925885577822763E-3</v>
      </c>
      <c r="I99" s="64">
        <v>3.9185459329206139E-3</v>
      </c>
      <c r="J99" s="64">
        <v>3.3080015572506342E-3</v>
      </c>
      <c r="K99" s="64">
        <v>3.441357726352564E-3</v>
      </c>
      <c r="L99" s="64">
        <v>4.5421990209155809E-4</v>
      </c>
      <c r="M99" s="64">
        <v>1.7276748161615724E-3</v>
      </c>
      <c r="N99" s="64">
        <v>4.1662310037572916E-3</v>
      </c>
      <c r="O99" s="64">
        <v>1.7604928992931369E-3</v>
      </c>
      <c r="P99" s="64">
        <v>4.4752204390901299E-3</v>
      </c>
      <c r="Q99" s="64">
        <v>9.9905477185289657E-4</v>
      </c>
      <c r="R99" s="64">
        <v>1.7434156256682673E-3</v>
      </c>
      <c r="S99" s="64">
        <v>1.552660247301353E-3</v>
      </c>
      <c r="T99" s="64">
        <v>2.063888945704613E-3</v>
      </c>
      <c r="U99" s="64">
        <v>3.3063308157420075E-3</v>
      </c>
      <c r="V99" s="64">
        <v>5.4499006135590286E-4</v>
      </c>
      <c r="W99" s="64">
        <v>2.145982750159215E-3</v>
      </c>
      <c r="X99" s="64">
        <v>1.5903330119732143E-3</v>
      </c>
      <c r="Y99" s="64">
        <v>3.1616257141902299E-3</v>
      </c>
      <c r="Z99" s="64">
        <v>3.5112497425838717E-3</v>
      </c>
      <c r="AA99" s="64">
        <v>5.1626994510519109E-3</v>
      </c>
      <c r="AB99" s="64">
        <v>1.4373647496674726E-3</v>
      </c>
      <c r="AC99" s="64">
        <v>2.3356375745411219E-3</v>
      </c>
      <c r="AD99" s="64">
        <v>4.658409076285501E-3</v>
      </c>
      <c r="AE99" s="64">
        <v>4.2711793497885436E-3</v>
      </c>
    </row>
    <row r="101" spans="1:32" ht="16" thickBot="1" x14ac:dyDescent="0.35">
      <c r="A101" s="15" t="s">
        <v>140</v>
      </c>
    </row>
    <row r="102" spans="1:32" ht="14.5" x14ac:dyDescent="0.35">
      <c r="A102" s="13"/>
      <c r="B102" s="13" t="s">
        <v>41</v>
      </c>
      <c r="C102" s="13" t="s">
        <v>42</v>
      </c>
      <c r="D102" s="13" t="s">
        <v>10</v>
      </c>
      <c r="E102" s="13" t="s">
        <v>43</v>
      </c>
      <c r="F102" s="13" t="s">
        <v>44</v>
      </c>
      <c r="G102" s="13" t="s">
        <v>45</v>
      </c>
      <c r="H102" s="13" t="s">
        <v>46</v>
      </c>
      <c r="I102" s="13" t="s">
        <v>47</v>
      </c>
      <c r="J102" s="13" t="s">
        <v>12</v>
      </c>
      <c r="K102" s="13" t="s">
        <v>48</v>
      </c>
      <c r="L102" s="13" t="s">
        <v>11</v>
      </c>
      <c r="M102" s="13" t="s">
        <v>13</v>
      </c>
      <c r="N102" s="13" t="s">
        <v>49</v>
      </c>
      <c r="O102" s="13" t="s">
        <v>14</v>
      </c>
      <c r="P102" s="13" t="s">
        <v>17</v>
      </c>
      <c r="Q102" s="13" t="s">
        <v>50</v>
      </c>
      <c r="R102" s="13" t="s">
        <v>51</v>
      </c>
      <c r="S102" s="13" t="s">
        <v>52</v>
      </c>
      <c r="T102" s="13" t="s">
        <v>53</v>
      </c>
      <c r="U102" s="13" t="s">
        <v>15</v>
      </c>
      <c r="V102" s="13" t="s">
        <v>54</v>
      </c>
      <c r="W102" s="13" t="s">
        <v>55</v>
      </c>
      <c r="X102" s="13" t="s">
        <v>56</v>
      </c>
      <c r="Y102" s="13" t="s">
        <v>57</v>
      </c>
      <c r="Z102" s="13" t="s">
        <v>58</v>
      </c>
      <c r="AA102" s="13" t="s">
        <v>59</v>
      </c>
      <c r="AB102" s="13" t="s">
        <v>16</v>
      </c>
      <c r="AC102" s="13" t="s">
        <v>60</v>
      </c>
      <c r="AD102" s="13" t="s">
        <v>61</v>
      </c>
      <c r="AE102" s="13" t="s">
        <v>62</v>
      </c>
    </row>
    <row r="103" spans="1:32" x14ac:dyDescent="0.3">
      <c r="A103" t="s">
        <v>41</v>
      </c>
      <c r="B103" s="63">
        <f t="array" ref="B103:AE132">varcovar('ROR-Var-Sd'!B5:AE78)</f>
        <v>2.4171584895452498E-3</v>
      </c>
      <c r="C103" s="63">
        <v>2.5323916416905489E-3</v>
      </c>
      <c r="D103" s="63">
        <v>1.5773862975043754E-3</v>
      </c>
      <c r="E103" s="63">
        <v>1.5190926538584532E-3</v>
      </c>
      <c r="F103" s="63">
        <v>1.5182306882013693E-3</v>
      </c>
      <c r="G103" s="63">
        <v>2.0586571470224318E-3</v>
      </c>
      <c r="H103" s="63">
        <v>1.9196840423003074E-3</v>
      </c>
      <c r="I103" s="63">
        <v>2.4210001271715259E-3</v>
      </c>
      <c r="J103" s="63">
        <v>2.4293557087830221E-3</v>
      </c>
      <c r="K103" s="63">
        <v>2.2922595760485848E-3</v>
      </c>
      <c r="L103" s="63">
        <v>1.0913961810643039E-4</v>
      </c>
      <c r="M103" s="63">
        <v>1.4249379956879835E-3</v>
      </c>
      <c r="N103" s="63">
        <v>2.6041557088850851E-3</v>
      </c>
      <c r="O103" s="63">
        <v>3.5469406216989972E-4</v>
      </c>
      <c r="P103" s="63">
        <v>2.6439514949065804E-3</v>
      </c>
      <c r="Q103" s="63">
        <v>9.5663911842571098E-4</v>
      </c>
      <c r="R103" s="63">
        <v>1.7106890543973508E-3</v>
      </c>
      <c r="S103" s="63">
        <v>7.5069491414041809E-4</v>
      </c>
      <c r="T103" s="63">
        <v>2.3600057710029226E-3</v>
      </c>
      <c r="U103" s="63">
        <v>1.9746867900729162E-3</v>
      </c>
      <c r="V103" s="63">
        <v>6.9123639118671162E-4</v>
      </c>
      <c r="W103" s="63">
        <v>1.8120435642693046E-3</v>
      </c>
      <c r="X103" s="63">
        <v>1.1540966804552302E-3</v>
      </c>
      <c r="Y103" s="63">
        <v>1.9433031419644308E-3</v>
      </c>
      <c r="Z103" s="63">
        <v>1.7364539456058284E-3</v>
      </c>
      <c r="AA103" s="63">
        <v>3.1166687133878487E-3</v>
      </c>
      <c r="AB103" s="63">
        <v>1.2086178531878398E-3</v>
      </c>
      <c r="AC103" s="63">
        <v>1.45606915048578E-3</v>
      </c>
      <c r="AD103" s="63">
        <v>1.943169167651723E-3</v>
      </c>
      <c r="AE103" s="63">
        <v>1.1921210953154448E-3</v>
      </c>
      <c r="AF103" t="str" cm="1">
        <f t="array" ref="AF103">getformula(AE103)</f>
        <v>=varcovar('ROR-Var-Sd'!B5:AE78)</v>
      </c>
    </row>
    <row r="104" spans="1:32" x14ac:dyDescent="0.3">
      <c r="A104" t="s">
        <v>42</v>
      </c>
      <c r="B104" s="63">
        <v>2.5323916416905489E-3</v>
      </c>
      <c r="C104" s="63">
        <v>1.4495099160265814E-2</v>
      </c>
      <c r="D104" s="63">
        <v>2.5412267089091191E-3</v>
      </c>
      <c r="E104" s="63">
        <v>3.4785782208721131E-3</v>
      </c>
      <c r="F104" s="63">
        <v>4.9539966858376935E-3</v>
      </c>
      <c r="G104" s="63">
        <v>4.8339860711046788E-3</v>
      </c>
      <c r="H104" s="63">
        <v>4.1481214600672927E-3</v>
      </c>
      <c r="I104" s="63">
        <v>7.9900484545273754E-3</v>
      </c>
      <c r="J104" s="63">
        <v>5.957794365116992E-3</v>
      </c>
      <c r="K104" s="63">
        <v>7.4927508485761827E-3</v>
      </c>
      <c r="L104" s="63">
        <v>2.9449018628378436E-4</v>
      </c>
      <c r="M104" s="63">
        <v>1.7102312408978004E-3</v>
      </c>
      <c r="N104" s="63">
        <v>1.3529862918449143E-2</v>
      </c>
      <c r="O104" s="63">
        <v>2.968625202949719E-3</v>
      </c>
      <c r="P104" s="63">
        <v>7.667260773177466E-3</v>
      </c>
      <c r="Q104" s="63">
        <v>9.1498043128570574E-4</v>
      </c>
      <c r="R104" s="63">
        <v>3.6805479521413694E-3</v>
      </c>
      <c r="S104" s="63">
        <v>2.4866604870511341E-3</v>
      </c>
      <c r="T104" s="63">
        <v>3.5356993719671717E-3</v>
      </c>
      <c r="U104" s="63">
        <v>5.8567620889917087E-3</v>
      </c>
      <c r="V104" s="63">
        <v>3.6586966277002073E-4</v>
      </c>
      <c r="W104" s="63">
        <v>2.4795458881906396E-3</v>
      </c>
      <c r="X104" s="63">
        <v>4.079671421913348E-3</v>
      </c>
      <c r="Y104" s="63">
        <v>5.7026644189779093E-3</v>
      </c>
      <c r="Z104" s="63">
        <v>6.3819744071839535E-3</v>
      </c>
      <c r="AA104" s="63">
        <v>9.1378892663955182E-3</v>
      </c>
      <c r="AB104" s="63">
        <v>1.8429309718483217E-3</v>
      </c>
      <c r="AC104" s="63">
        <v>3.8822071295009919E-3</v>
      </c>
      <c r="AD104" s="63">
        <v>9.8298896391867934E-3</v>
      </c>
      <c r="AE104" s="63">
        <v>4.0714430304877522E-3</v>
      </c>
    </row>
    <row r="105" spans="1:32" x14ac:dyDescent="0.3">
      <c r="A105" t="s">
        <v>10</v>
      </c>
      <c r="B105" s="63">
        <v>1.5773862975043754E-3</v>
      </c>
      <c r="C105" s="63">
        <v>2.5412267089091191E-3</v>
      </c>
      <c r="D105" s="63">
        <v>2.5821472367638841E-2</v>
      </c>
      <c r="E105" s="63">
        <v>2.3347498285912404E-3</v>
      </c>
      <c r="F105" s="63">
        <v>1.9543325833054673E-3</v>
      </c>
      <c r="G105" s="63">
        <v>4.128573675366105E-3</v>
      </c>
      <c r="H105" s="63">
        <v>2.5645080185139335E-3</v>
      </c>
      <c r="I105" s="63">
        <v>3.5517028248358744E-3</v>
      </c>
      <c r="J105" s="63">
        <v>3.2619742653772999E-3</v>
      </c>
      <c r="K105" s="63">
        <v>2.3617947301490002E-3</v>
      </c>
      <c r="L105" s="63">
        <v>6.5466756212319331E-4</v>
      </c>
      <c r="M105" s="63">
        <v>-1.3163534939733437E-4</v>
      </c>
      <c r="N105" s="63">
        <v>2.1824655279877761E-3</v>
      </c>
      <c r="O105" s="63">
        <v>4.4006514598318325E-3</v>
      </c>
      <c r="P105" s="63">
        <v>3.8993783520661508E-3</v>
      </c>
      <c r="Q105" s="63">
        <v>1.3718704045986197E-3</v>
      </c>
      <c r="R105" s="63">
        <v>2.248716332040547E-3</v>
      </c>
      <c r="S105" s="63">
        <v>3.226059817276091E-4</v>
      </c>
      <c r="T105" s="63">
        <v>3.5574189684292861E-3</v>
      </c>
      <c r="U105" s="63">
        <v>3.5197411452386287E-3</v>
      </c>
      <c r="V105" s="63">
        <v>9.1615708699997788E-4</v>
      </c>
      <c r="W105" s="63">
        <v>2.383582057335847E-3</v>
      </c>
      <c r="X105" s="63">
        <v>2.1702026703433659E-3</v>
      </c>
      <c r="Y105" s="63">
        <v>3.4629976578599213E-3</v>
      </c>
      <c r="Z105" s="63">
        <v>2.1866615723753527E-3</v>
      </c>
      <c r="AA105" s="63">
        <v>4.9178305202009481E-3</v>
      </c>
      <c r="AB105" s="63">
        <v>9.6081333470328151E-4</v>
      </c>
      <c r="AC105" s="63">
        <v>1.2000365374160071E-3</v>
      </c>
      <c r="AD105" s="63">
        <v>6.5757909781266445E-3</v>
      </c>
      <c r="AE105" s="63">
        <v>1.6728491358270921E-3</v>
      </c>
    </row>
    <row r="106" spans="1:32" x14ac:dyDescent="0.3">
      <c r="A106" t="s">
        <v>43</v>
      </c>
      <c r="B106" s="63">
        <v>1.5190926538584532E-3</v>
      </c>
      <c r="C106" s="63">
        <v>3.4785782208721131E-3</v>
      </c>
      <c r="D106" s="63">
        <v>2.3347498285912404E-3</v>
      </c>
      <c r="E106" s="63">
        <v>5.4198518975310589E-3</v>
      </c>
      <c r="F106" s="63">
        <v>2.7913636742597538E-3</v>
      </c>
      <c r="G106" s="63">
        <v>3.1368533229061738E-3</v>
      </c>
      <c r="H106" s="63">
        <v>2.2860766675251438E-3</v>
      </c>
      <c r="I106" s="63">
        <v>3.6829759387857993E-3</v>
      </c>
      <c r="J106" s="63">
        <v>2.9171350824526709E-3</v>
      </c>
      <c r="K106" s="63">
        <v>3.0311710521386597E-3</v>
      </c>
      <c r="L106" s="63">
        <v>1.030969627483339E-3</v>
      </c>
      <c r="M106" s="63">
        <v>2.0944107622822262E-3</v>
      </c>
      <c r="N106" s="63">
        <v>3.5150389591823211E-3</v>
      </c>
      <c r="O106" s="63">
        <v>1.5691751825304421E-3</v>
      </c>
      <c r="P106" s="63">
        <v>5.2833279950362157E-3</v>
      </c>
      <c r="Q106" s="63">
        <v>1.3673909837570728E-3</v>
      </c>
      <c r="R106" s="63">
        <v>1.6598474114162232E-3</v>
      </c>
      <c r="S106" s="63">
        <v>2.1514188194490576E-3</v>
      </c>
      <c r="T106" s="63">
        <v>2.3283317584243965E-3</v>
      </c>
      <c r="U106" s="63">
        <v>2.8244740356994169E-3</v>
      </c>
      <c r="V106" s="63">
        <v>5.7732531805224823E-4</v>
      </c>
      <c r="W106" s="63">
        <v>3.1450387477968919E-3</v>
      </c>
      <c r="X106" s="63">
        <v>2.0817894334128162E-3</v>
      </c>
      <c r="Y106" s="63">
        <v>3.0891143466083063E-3</v>
      </c>
      <c r="Z106" s="63">
        <v>2.8444248987025507E-3</v>
      </c>
      <c r="AA106" s="63">
        <v>4.8142831983273814E-3</v>
      </c>
      <c r="AB106" s="63">
        <v>1.7458317327857494E-3</v>
      </c>
      <c r="AC106" s="63">
        <v>2.4646757360674873E-3</v>
      </c>
      <c r="AD106" s="63">
        <v>3.9696606660632617E-3</v>
      </c>
      <c r="AE106" s="63">
        <v>2.2365143836244402E-3</v>
      </c>
    </row>
    <row r="107" spans="1:32" x14ac:dyDescent="0.3">
      <c r="A107" t="s">
        <v>44</v>
      </c>
      <c r="B107" s="63">
        <v>1.5182306882013693E-3</v>
      </c>
      <c r="C107" s="63">
        <v>4.9539966858376935E-3</v>
      </c>
      <c r="D107" s="63">
        <v>1.9543325833054673E-3</v>
      </c>
      <c r="E107" s="63">
        <v>2.7913636742597538E-3</v>
      </c>
      <c r="F107" s="63">
        <v>4.8813158737581117E-3</v>
      </c>
      <c r="G107" s="63">
        <v>2.9339804014662202E-3</v>
      </c>
      <c r="H107" s="63">
        <v>2.9640783234690673E-3</v>
      </c>
      <c r="I107" s="63">
        <v>4.7428780224355593E-3</v>
      </c>
      <c r="J107" s="63">
        <v>3.6403168252736999E-3</v>
      </c>
      <c r="K107" s="63">
        <v>4.5033499921794673E-3</v>
      </c>
      <c r="L107" s="63">
        <v>-5.5070214372127731E-4</v>
      </c>
      <c r="M107" s="63">
        <v>1.8841198392042045E-3</v>
      </c>
      <c r="N107" s="63">
        <v>5.1135368155679692E-3</v>
      </c>
      <c r="O107" s="63">
        <v>2.4559210556413104E-3</v>
      </c>
      <c r="P107" s="63">
        <v>4.5334207755064072E-3</v>
      </c>
      <c r="Q107" s="63">
        <v>7.4079640794721578E-4</v>
      </c>
      <c r="R107" s="63">
        <v>1.6846551410446835E-3</v>
      </c>
      <c r="S107" s="63">
        <v>1.9882333282531233E-3</v>
      </c>
      <c r="T107" s="63">
        <v>1.7814822223195244E-3</v>
      </c>
      <c r="U107" s="63">
        <v>4.3933039776248017E-3</v>
      </c>
      <c r="V107" s="63">
        <v>6.699546072629581E-5</v>
      </c>
      <c r="W107" s="63">
        <v>2.1479629930577066E-3</v>
      </c>
      <c r="X107" s="63">
        <v>1.5724590754507776E-3</v>
      </c>
      <c r="Y107" s="63">
        <v>4.152081607538001E-3</v>
      </c>
      <c r="Z107" s="63">
        <v>4.3127698574231292E-3</v>
      </c>
      <c r="AA107" s="63">
        <v>6.0680443552748155E-3</v>
      </c>
      <c r="AB107" s="63">
        <v>1.4847253270266073E-3</v>
      </c>
      <c r="AC107" s="63">
        <v>3.7248298520269601E-3</v>
      </c>
      <c r="AD107" s="63">
        <v>6.0345769317669091E-3</v>
      </c>
      <c r="AE107" s="63">
        <v>3.843056397417386E-3</v>
      </c>
    </row>
    <row r="108" spans="1:32" x14ac:dyDescent="0.3">
      <c r="A108" t="s">
        <v>45</v>
      </c>
      <c r="B108" s="63">
        <v>2.0586571470224318E-3</v>
      </c>
      <c r="C108" s="63">
        <v>4.8339860711046788E-3</v>
      </c>
      <c r="D108" s="63">
        <v>4.128573675366105E-3</v>
      </c>
      <c r="E108" s="63">
        <v>3.1368533229061738E-3</v>
      </c>
      <c r="F108" s="63">
        <v>2.9339804014662202E-3</v>
      </c>
      <c r="G108" s="63">
        <v>4.9621197449548245E-3</v>
      </c>
      <c r="H108" s="63">
        <v>2.9044808318325079E-3</v>
      </c>
      <c r="I108" s="63">
        <v>4.8105567396949959E-3</v>
      </c>
      <c r="J108" s="63">
        <v>4.2057114478422E-3</v>
      </c>
      <c r="K108" s="63">
        <v>3.9577073238039944E-3</v>
      </c>
      <c r="L108" s="63">
        <v>7.1523791449765563E-4</v>
      </c>
      <c r="M108" s="63">
        <v>2.1002621178058387E-3</v>
      </c>
      <c r="N108" s="63">
        <v>4.7397527859387879E-3</v>
      </c>
      <c r="O108" s="63">
        <v>2.1061936129378703E-3</v>
      </c>
      <c r="P108" s="63">
        <v>5.4748744124329118E-3</v>
      </c>
      <c r="Q108" s="63">
        <v>1.256161736378448E-3</v>
      </c>
      <c r="R108" s="63">
        <v>2.0160278874046525E-3</v>
      </c>
      <c r="S108" s="63">
        <v>1.4585693144848818E-3</v>
      </c>
      <c r="T108" s="63">
        <v>2.1326924895178215E-3</v>
      </c>
      <c r="U108" s="63">
        <v>3.7813528018831965E-3</v>
      </c>
      <c r="V108" s="63">
        <v>9.4322029082712718E-4</v>
      </c>
      <c r="W108" s="63">
        <v>2.5906351181880869E-3</v>
      </c>
      <c r="X108" s="63">
        <v>1.7420497678581025E-3</v>
      </c>
      <c r="Y108" s="63">
        <v>3.7514856395148804E-3</v>
      </c>
      <c r="Z108" s="63">
        <v>4.1789886878068555E-3</v>
      </c>
      <c r="AA108" s="63">
        <v>6.0890993093112569E-3</v>
      </c>
      <c r="AB108" s="63">
        <v>1.4256780993732307E-3</v>
      </c>
      <c r="AC108" s="63">
        <v>2.6759469374499113E-3</v>
      </c>
      <c r="AD108" s="63">
        <v>5.6207532036572768E-3</v>
      </c>
      <c r="AE108" s="63">
        <v>2.3313656336295106E-3</v>
      </c>
    </row>
    <row r="109" spans="1:32" x14ac:dyDescent="0.3">
      <c r="A109" t="s">
        <v>46</v>
      </c>
      <c r="B109" s="63">
        <v>1.9196840423003074E-3</v>
      </c>
      <c r="C109" s="63">
        <v>4.1481214600672927E-3</v>
      </c>
      <c r="D109" s="63">
        <v>2.5645080185139335E-3</v>
      </c>
      <c r="E109" s="63">
        <v>2.2860766675251438E-3</v>
      </c>
      <c r="F109" s="63">
        <v>2.9640783234690673E-3</v>
      </c>
      <c r="G109" s="63">
        <v>2.9044808318325079E-3</v>
      </c>
      <c r="H109" s="63">
        <v>4.7671039173725407E-3</v>
      </c>
      <c r="I109" s="63">
        <v>4.6893406422343882E-3</v>
      </c>
      <c r="J109" s="63">
        <v>3.3938969228338531E-3</v>
      </c>
      <c r="K109" s="63">
        <v>4.2676554205163322E-3</v>
      </c>
      <c r="L109" s="63">
        <v>6.5378528522928511E-4</v>
      </c>
      <c r="M109" s="63">
        <v>1.5207326956925894E-3</v>
      </c>
      <c r="N109" s="63">
        <v>4.3116797684265851E-3</v>
      </c>
      <c r="O109" s="63">
        <v>2.2649638687050337E-3</v>
      </c>
      <c r="P109" s="63">
        <v>5.2442934546365373E-3</v>
      </c>
      <c r="Q109" s="63">
        <v>1.3282523437938068E-3</v>
      </c>
      <c r="R109" s="63">
        <v>1.8787506150263855E-3</v>
      </c>
      <c r="S109" s="63">
        <v>1.2838844712973539E-3</v>
      </c>
      <c r="T109" s="63">
        <v>1.8889522172047873E-3</v>
      </c>
      <c r="U109" s="63">
        <v>3.0641686413297848E-3</v>
      </c>
      <c r="V109" s="63">
        <v>6.5361274837922798E-4</v>
      </c>
      <c r="W109" s="63">
        <v>2.4117110190098648E-3</v>
      </c>
      <c r="X109" s="63">
        <v>1.5025559409206277E-3</v>
      </c>
      <c r="Y109" s="63">
        <v>3.6074959413396859E-3</v>
      </c>
      <c r="Z109" s="63">
        <v>3.2591024138710267E-3</v>
      </c>
      <c r="AA109" s="63">
        <v>6.1668034523249451E-3</v>
      </c>
      <c r="AB109" s="63">
        <v>1.5463198460653528E-3</v>
      </c>
      <c r="AC109" s="63">
        <v>2.1373962145003439E-3</v>
      </c>
      <c r="AD109" s="63">
        <v>4.1293042885421497E-3</v>
      </c>
      <c r="AE109" s="63">
        <v>2.5722249157352712E-3</v>
      </c>
    </row>
    <row r="110" spans="1:32" x14ac:dyDescent="0.3">
      <c r="A110" t="s">
        <v>47</v>
      </c>
      <c r="B110" s="63">
        <v>2.4210001271715259E-3</v>
      </c>
      <c r="C110" s="63">
        <v>7.9900484545273754E-3</v>
      </c>
      <c r="D110" s="63">
        <v>3.5517028248358744E-3</v>
      </c>
      <c r="E110" s="63">
        <v>3.6829759387857993E-3</v>
      </c>
      <c r="F110" s="63">
        <v>4.7428780224355593E-3</v>
      </c>
      <c r="G110" s="63">
        <v>4.8105567396949959E-3</v>
      </c>
      <c r="H110" s="63">
        <v>4.6893406422343882E-3</v>
      </c>
      <c r="I110" s="63">
        <v>9.0200465000047202E-3</v>
      </c>
      <c r="J110" s="63">
        <v>6.7286923323565144E-3</v>
      </c>
      <c r="K110" s="63">
        <v>7.2913462166003407E-3</v>
      </c>
      <c r="L110" s="63">
        <v>9.9692778201042722E-4</v>
      </c>
      <c r="M110" s="63">
        <v>2.504218685195311E-3</v>
      </c>
      <c r="N110" s="63">
        <v>8.247573489224622E-3</v>
      </c>
      <c r="O110" s="63">
        <v>3.3432447489845927E-3</v>
      </c>
      <c r="P110" s="63">
        <v>8.4181753990094765E-3</v>
      </c>
      <c r="Q110" s="63">
        <v>1.2334651992766438E-3</v>
      </c>
      <c r="R110" s="63">
        <v>2.9454354947826681E-3</v>
      </c>
      <c r="S110" s="63">
        <v>2.1007910609101357E-3</v>
      </c>
      <c r="T110" s="63">
        <v>2.3514714687813362E-3</v>
      </c>
      <c r="U110" s="63">
        <v>5.4325618721016728E-3</v>
      </c>
      <c r="V110" s="63">
        <v>4.8357813194424256E-4</v>
      </c>
      <c r="W110" s="63">
        <v>3.1293529022805547E-3</v>
      </c>
      <c r="X110" s="63">
        <v>2.2664922543573214E-3</v>
      </c>
      <c r="Y110" s="63">
        <v>5.9218241703404258E-3</v>
      </c>
      <c r="Z110" s="63">
        <v>7.3302384046999413E-3</v>
      </c>
      <c r="AA110" s="63">
        <v>9.5449616457973993E-3</v>
      </c>
      <c r="AB110" s="63">
        <v>2.4419870474809884E-3</v>
      </c>
      <c r="AC110" s="63">
        <v>4.0922765559085819E-3</v>
      </c>
      <c r="AD110" s="63">
        <v>8.1996098382163471E-3</v>
      </c>
      <c r="AE110" s="63">
        <v>3.9883344027427329E-3</v>
      </c>
    </row>
    <row r="111" spans="1:32" x14ac:dyDescent="0.3">
      <c r="A111" t="s">
        <v>12</v>
      </c>
      <c r="B111" s="63">
        <v>2.4293557087830221E-3</v>
      </c>
      <c r="C111" s="63">
        <v>5.957794365116992E-3</v>
      </c>
      <c r="D111" s="63">
        <v>3.2619742653772999E-3</v>
      </c>
      <c r="E111" s="63">
        <v>2.9171350824526709E-3</v>
      </c>
      <c r="F111" s="63">
        <v>3.6403168252736999E-3</v>
      </c>
      <c r="G111" s="63">
        <v>4.2057114478422E-3</v>
      </c>
      <c r="H111" s="63">
        <v>3.3938969228338531E-3</v>
      </c>
      <c r="I111" s="63">
        <v>6.7286923323565144E-3</v>
      </c>
      <c r="J111" s="63">
        <v>8.9095290724769821E-3</v>
      </c>
      <c r="K111" s="63">
        <v>5.7856621305237754E-3</v>
      </c>
      <c r="L111" s="63">
        <v>2.9910360835192363E-4</v>
      </c>
      <c r="M111" s="63">
        <v>2.432007903357054E-3</v>
      </c>
      <c r="N111" s="63">
        <v>6.2217190601028191E-3</v>
      </c>
      <c r="O111" s="63">
        <v>2.796609394293418E-3</v>
      </c>
      <c r="P111" s="63">
        <v>6.5066042804420264E-3</v>
      </c>
      <c r="Q111" s="63">
        <v>9.1959209453043838E-4</v>
      </c>
      <c r="R111" s="63">
        <v>2.6140605673320503E-3</v>
      </c>
      <c r="S111" s="63">
        <v>1.781831350892405E-3</v>
      </c>
      <c r="T111" s="63">
        <v>3.0430986503302989E-3</v>
      </c>
      <c r="U111" s="63">
        <v>5.2861214984274724E-3</v>
      </c>
      <c r="V111" s="63">
        <v>1.0389046466522409E-3</v>
      </c>
      <c r="W111" s="63">
        <v>3.0980845852455665E-3</v>
      </c>
      <c r="X111" s="63">
        <v>1.357927401447869E-3</v>
      </c>
      <c r="Y111" s="63">
        <v>5.0814341261584796E-3</v>
      </c>
      <c r="Z111" s="63">
        <v>6.9452665682849524E-3</v>
      </c>
      <c r="AA111" s="63">
        <v>1.0101437266593322E-2</v>
      </c>
      <c r="AB111" s="63">
        <v>2.4204257927906091E-3</v>
      </c>
      <c r="AC111" s="63">
        <v>3.2471699592072486E-3</v>
      </c>
      <c r="AD111" s="63">
        <v>7.2734508141150409E-3</v>
      </c>
      <c r="AE111" s="63">
        <v>2.8729765487115369E-3</v>
      </c>
    </row>
    <row r="112" spans="1:32" x14ac:dyDescent="0.3">
      <c r="A112" t="s">
        <v>48</v>
      </c>
      <c r="B112" s="63">
        <v>2.2922595760485848E-3</v>
      </c>
      <c r="C112" s="63">
        <v>7.4927508485761827E-3</v>
      </c>
      <c r="D112" s="63">
        <v>2.3617947301490002E-3</v>
      </c>
      <c r="E112" s="63">
        <v>3.0311710521386597E-3</v>
      </c>
      <c r="F112" s="63">
        <v>4.5033499921794673E-3</v>
      </c>
      <c r="G112" s="63">
        <v>3.9577073238039944E-3</v>
      </c>
      <c r="H112" s="63">
        <v>4.2676554205163322E-3</v>
      </c>
      <c r="I112" s="63">
        <v>7.2913462166003407E-3</v>
      </c>
      <c r="J112" s="63">
        <v>5.7856621305237754E-3</v>
      </c>
      <c r="K112" s="63">
        <v>7.5997002586492262E-3</v>
      </c>
      <c r="L112" s="63">
        <v>-7.9846779931642999E-6</v>
      </c>
      <c r="M112" s="63">
        <v>2.0788441101623305E-3</v>
      </c>
      <c r="N112" s="63">
        <v>7.3985019029447017E-3</v>
      </c>
      <c r="O112" s="63">
        <v>2.9327041478962126E-3</v>
      </c>
      <c r="P112" s="63">
        <v>6.8673304735182468E-3</v>
      </c>
      <c r="Q112" s="63">
        <v>8.5923951953882052E-4</v>
      </c>
      <c r="R112" s="63">
        <v>2.5760837784874527E-3</v>
      </c>
      <c r="S112" s="63">
        <v>1.7594147884001912E-3</v>
      </c>
      <c r="T112" s="63">
        <v>1.7408268119949489E-3</v>
      </c>
      <c r="U112" s="63">
        <v>4.4139992540125827E-3</v>
      </c>
      <c r="V112" s="63">
        <v>4.4372076386075079E-4</v>
      </c>
      <c r="W112" s="63">
        <v>2.607118829770062E-3</v>
      </c>
      <c r="X112" s="63">
        <v>1.8723169695680584E-3</v>
      </c>
      <c r="Y112" s="63">
        <v>5.2553467810551096E-3</v>
      </c>
      <c r="Z112" s="63">
        <v>5.97724779836216E-3</v>
      </c>
      <c r="AA112" s="63">
        <v>7.47245834343739E-3</v>
      </c>
      <c r="AB112" s="63">
        <v>1.7451344782734191E-3</v>
      </c>
      <c r="AC112" s="63">
        <v>3.5296212393389585E-3</v>
      </c>
      <c r="AD112" s="63">
        <v>6.6485223847282809E-3</v>
      </c>
      <c r="AE112" s="63">
        <v>3.5670421177579005E-3</v>
      </c>
    </row>
    <row r="113" spans="1:31" x14ac:dyDescent="0.3">
      <c r="A113" t="s">
        <v>11</v>
      </c>
      <c r="B113" s="63">
        <v>1.0913961810643039E-4</v>
      </c>
      <c r="C113" s="63">
        <v>2.9449018628378436E-4</v>
      </c>
      <c r="D113" s="63">
        <v>6.5466756212319331E-4</v>
      </c>
      <c r="E113" s="63">
        <v>1.030969627483339E-3</v>
      </c>
      <c r="F113" s="63">
        <v>-5.5070214372127731E-4</v>
      </c>
      <c r="G113" s="63">
        <v>7.1523791449765563E-4</v>
      </c>
      <c r="H113" s="63">
        <v>6.5378528522928511E-4</v>
      </c>
      <c r="I113" s="63">
        <v>9.9692778201042722E-4</v>
      </c>
      <c r="J113" s="63">
        <v>2.9910360835192363E-4</v>
      </c>
      <c r="K113" s="63">
        <v>-7.9846779931642999E-6</v>
      </c>
      <c r="L113" s="63">
        <v>6.8071706223236331E-3</v>
      </c>
      <c r="M113" s="63">
        <v>5.9920612659697945E-4</v>
      </c>
      <c r="N113" s="63">
        <v>1.3606919572551661E-4</v>
      </c>
      <c r="O113" s="63">
        <v>9.1181919118716107E-4</v>
      </c>
      <c r="P113" s="63">
        <v>2.4673860554914199E-3</v>
      </c>
      <c r="Q113" s="63">
        <v>4.6821171399265575E-4</v>
      </c>
      <c r="R113" s="63">
        <v>1.0946850438657988E-3</v>
      </c>
      <c r="S113" s="63">
        <v>3.9425266804311415E-4</v>
      </c>
      <c r="T113" s="63">
        <v>1.4525177412502367E-3</v>
      </c>
      <c r="U113" s="63">
        <v>2.1147813110168354E-4</v>
      </c>
      <c r="V113" s="63">
        <v>6.3345055165224323E-4</v>
      </c>
      <c r="W113" s="63">
        <v>1.5641899231816977E-3</v>
      </c>
      <c r="X113" s="63">
        <v>7.9161824507771193E-4</v>
      </c>
      <c r="Y113" s="63">
        <v>-1.6543932340645803E-4</v>
      </c>
      <c r="Z113" s="63">
        <v>5.3610085630297413E-4</v>
      </c>
      <c r="AA113" s="63">
        <v>7.32360345164446E-4</v>
      </c>
      <c r="AB113" s="63">
        <v>5.3308099379059241E-5</v>
      </c>
      <c r="AC113" s="63">
        <v>-1.9414786655893706E-4</v>
      </c>
      <c r="AD113" s="63">
        <v>1.364033267883327E-3</v>
      </c>
      <c r="AE113" s="63">
        <v>-1.7422386638884697E-4</v>
      </c>
    </row>
    <row r="114" spans="1:31" x14ac:dyDescent="0.3">
      <c r="A114" t="s">
        <v>13</v>
      </c>
      <c r="B114" s="63">
        <v>1.4249379956879835E-3</v>
      </c>
      <c r="C114" s="63">
        <v>1.7102312408978004E-3</v>
      </c>
      <c r="D114" s="63">
        <v>-1.3163534939733437E-4</v>
      </c>
      <c r="E114" s="63">
        <v>2.0944107622822262E-3</v>
      </c>
      <c r="F114" s="63">
        <v>1.8841198392042045E-3</v>
      </c>
      <c r="G114" s="63">
        <v>2.1002621178058387E-3</v>
      </c>
      <c r="H114" s="63">
        <v>1.5207326956925894E-3</v>
      </c>
      <c r="I114" s="63">
        <v>2.504218685195311E-3</v>
      </c>
      <c r="J114" s="63">
        <v>2.432007903357054E-3</v>
      </c>
      <c r="K114" s="63">
        <v>2.0788441101623305E-3</v>
      </c>
      <c r="L114" s="63">
        <v>5.9920612659697945E-4</v>
      </c>
      <c r="M114" s="63">
        <v>5.5403235477444347E-3</v>
      </c>
      <c r="N114" s="63">
        <v>1.984371262962535E-3</v>
      </c>
      <c r="O114" s="63">
        <v>1.4381192708695114E-3</v>
      </c>
      <c r="P114" s="63">
        <v>3.1741946104171508E-3</v>
      </c>
      <c r="Q114" s="63">
        <v>1.5428929525017777E-3</v>
      </c>
      <c r="R114" s="63">
        <v>1.1817881621429547E-3</v>
      </c>
      <c r="S114" s="63">
        <v>1.1581105256286452E-3</v>
      </c>
      <c r="T114" s="63">
        <v>2.5763689999021453E-3</v>
      </c>
      <c r="U114" s="63">
        <v>3.4229565698009798E-3</v>
      </c>
      <c r="V114" s="63">
        <v>1.1693402275278061E-3</v>
      </c>
      <c r="W114" s="63">
        <v>1.4423513431174255E-3</v>
      </c>
      <c r="X114" s="63">
        <v>9.2414605387061872E-4</v>
      </c>
      <c r="Y114" s="63">
        <v>2.4335330278885841E-3</v>
      </c>
      <c r="Z114" s="63">
        <v>3.1748469422523099E-3</v>
      </c>
      <c r="AA114" s="63">
        <v>5.6740114408066469E-3</v>
      </c>
      <c r="AB114" s="63">
        <v>2.5594237623329276E-3</v>
      </c>
      <c r="AC114" s="63">
        <v>1.9187205928992974E-3</v>
      </c>
      <c r="AD114" s="63">
        <v>3.1953062542965011E-3</v>
      </c>
      <c r="AE114" s="63">
        <v>2.0298015012944434E-3</v>
      </c>
    </row>
    <row r="115" spans="1:31" x14ac:dyDescent="0.3">
      <c r="A115" t="s">
        <v>49</v>
      </c>
      <c r="B115" s="63">
        <v>2.6041557088850851E-3</v>
      </c>
      <c r="C115" s="63">
        <v>1.3529862918449143E-2</v>
      </c>
      <c r="D115" s="63">
        <v>2.1824655279877761E-3</v>
      </c>
      <c r="E115" s="63">
        <v>3.5150389591823211E-3</v>
      </c>
      <c r="F115" s="63">
        <v>5.1135368155679692E-3</v>
      </c>
      <c r="G115" s="63">
        <v>4.7397527859387879E-3</v>
      </c>
      <c r="H115" s="63">
        <v>4.3116797684265851E-3</v>
      </c>
      <c r="I115" s="63">
        <v>8.247573489224622E-3</v>
      </c>
      <c r="J115" s="63">
        <v>6.2217190601028191E-3</v>
      </c>
      <c r="K115" s="63">
        <v>7.3985019029447017E-3</v>
      </c>
      <c r="L115" s="63">
        <v>1.3606919572551661E-4</v>
      </c>
      <c r="M115" s="63">
        <v>1.984371262962535E-3</v>
      </c>
      <c r="N115" s="63">
        <v>1.3239817835991196E-2</v>
      </c>
      <c r="O115" s="63">
        <v>2.8663144892335569E-3</v>
      </c>
      <c r="P115" s="63">
        <v>7.4562876275936574E-3</v>
      </c>
      <c r="Q115" s="63">
        <v>1.1942598397626527E-3</v>
      </c>
      <c r="R115" s="63">
        <v>3.3733384939659233E-3</v>
      </c>
      <c r="S115" s="63">
        <v>2.5994978103856263E-3</v>
      </c>
      <c r="T115" s="63">
        <v>3.8336732478234455E-3</v>
      </c>
      <c r="U115" s="63">
        <v>6.0660657247355032E-3</v>
      </c>
      <c r="V115" s="63">
        <v>4.2265971299996845E-4</v>
      </c>
      <c r="W115" s="63">
        <v>2.7390410031274256E-3</v>
      </c>
      <c r="X115" s="63">
        <v>3.8898734855652571E-3</v>
      </c>
      <c r="Y115" s="63">
        <v>5.8259637419216534E-3</v>
      </c>
      <c r="Z115" s="63">
        <v>6.5849640930353021E-3</v>
      </c>
      <c r="AA115" s="63">
        <v>9.916240560862731E-3</v>
      </c>
      <c r="AB115" s="63">
        <v>1.9567430279687588E-3</v>
      </c>
      <c r="AC115" s="63">
        <v>4.0589330120773051E-3</v>
      </c>
      <c r="AD115" s="63">
        <v>9.7287475102999978E-3</v>
      </c>
      <c r="AE115" s="63">
        <v>4.417252691005142E-3</v>
      </c>
    </row>
    <row r="116" spans="1:31" x14ac:dyDescent="0.3">
      <c r="A116" t="s">
        <v>14</v>
      </c>
      <c r="B116" s="63">
        <v>3.5469406216989972E-4</v>
      </c>
      <c r="C116" s="63">
        <v>2.968625202949719E-3</v>
      </c>
      <c r="D116" s="63">
        <v>4.4006514598318325E-3</v>
      </c>
      <c r="E116" s="63">
        <v>1.5691751825304421E-3</v>
      </c>
      <c r="F116" s="63">
        <v>2.4559210556413104E-3</v>
      </c>
      <c r="G116" s="63">
        <v>2.1061936129378703E-3</v>
      </c>
      <c r="H116" s="63">
        <v>2.2649638687050337E-3</v>
      </c>
      <c r="I116" s="63">
        <v>3.3432447489845927E-3</v>
      </c>
      <c r="J116" s="63">
        <v>2.796609394293418E-3</v>
      </c>
      <c r="K116" s="63">
        <v>2.9327041478962126E-3</v>
      </c>
      <c r="L116" s="63">
        <v>9.1181919118716107E-4</v>
      </c>
      <c r="M116" s="63">
        <v>1.4381192708695114E-3</v>
      </c>
      <c r="N116" s="63">
        <v>2.8663144892335569E-3</v>
      </c>
      <c r="O116" s="63">
        <v>9.5449097792667924E-3</v>
      </c>
      <c r="P116" s="63">
        <v>3.5109375163572599E-3</v>
      </c>
      <c r="Q116" s="63">
        <v>7.3399962082955513E-4</v>
      </c>
      <c r="R116" s="63">
        <v>9.9650457611702306E-4</v>
      </c>
      <c r="S116" s="63">
        <v>1.6261601038383665E-3</v>
      </c>
      <c r="T116" s="63">
        <v>1.5213014232857204E-3</v>
      </c>
      <c r="U116" s="63">
        <v>2.6268597763200252E-3</v>
      </c>
      <c r="V116" s="63">
        <v>4.3080250768179589E-4</v>
      </c>
      <c r="W116" s="63">
        <v>2.4280857864644079E-3</v>
      </c>
      <c r="X116" s="63">
        <v>5.9247078761677941E-4</v>
      </c>
      <c r="Y116" s="63">
        <v>2.6978319876377523E-3</v>
      </c>
      <c r="Z116" s="63">
        <v>3.8927745877437949E-3</v>
      </c>
      <c r="AA116" s="63">
        <v>5.6212203663312558E-3</v>
      </c>
      <c r="AB116" s="63">
        <v>4.0846774786940268E-5</v>
      </c>
      <c r="AC116" s="63">
        <v>1.8860732537281846E-3</v>
      </c>
      <c r="AD116" s="63">
        <v>3.4699044142861403E-3</v>
      </c>
      <c r="AE116" s="63">
        <v>1.9538420122091745E-3</v>
      </c>
    </row>
    <row r="117" spans="1:31" x14ac:dyDescent="0.3">
      <c r="A117" t="s">
        <v>17</v>
      </c>
      <c r="B117" s="63">
        <v>2.6439514949065804E-3</v>
      </c>
      <c r="C117" s="63">
        <v>7.667260773177466E-3</v>
      </c>
      <c r="D117" s="63">
        <v>3.8993783520661508E-3</v>
      </c>
      <c r="E117" s="63">
        <v>5.2833279950362157E-3</v>
      </c>
      <c r="F117" s="63">
        <v>4.5334207755064072E-3</v>
      </c>
      <c r="G117" s="63">
        <v>5.4748744124329118E-3</v>
      </c>
      <c r="H117" s="63">
        <v>5.2442934546365373E-3</v>
      </c>
      <c r="I117" s="63">
        <v>8.4181753990094765E-3</v>
      </c>
      <c r="J117" s="63">
        <v>6.5066042804420264E-3</v>
      </c>
      <c r="K117" s="63">
        <v>6.8673304735182468E-3</v>
      </c>
      <c r="L117" s="63">
        <v>2.4673860554914199E-3</v>
      </c>
      <c r="M117" s="63">
        <v>3.1741946104171508E-3</v>
      </c>
      <c r="N117" s="63">
        <v>7.4562876275936574E-3</v>
      </c>
      <c r="O117" s="63">
        <v>3.5109375163572599E-3</v>
      </c>
      <c r="P117" s="63">
        <v>1.8165350207832196E-2</v>
      </c>
      <c r="Q117" s="63">
        <v>9.5048819579589402E-4</v>
      </c>
      <c r="R117" s="63">
        <v>4.0015712546615052E-3</v>
      </c>
      <c r="S117" s="63">
        <v>2.5378629332827272E-3</v>
      </c>
      <c r="T117" s="63">
        <v>3.5071111909898019E-3</v>
      </c>
      <c r="U117" s="63">
        <v>5.9337857576132877E-3</v>
      </c>
      <c r="V117" s="63">
        <v>5.1917901212123353E-4</v>
      </c>
      <c r="W117" s="63">
        <v>4.368598343219403E-3</v>
      </c>
      <c r="X117" s="63">
        <v>3.6029111530989553E-3</v>
      </c>
      <c r="Y117" s="63">
        <v>6.4703172983487768E-3</v>
      </c>
      <c r="Z117" s="63">
        <v>7.308237407426782E-3</v>
      </c>
      <c r="AA117" s="63">
        <v>9.5505128961767324E-3</v>
      </c>
      <c r="AB117" s="63">
        <v>4.7585275602122831E-3</v>
      </c>
      <c r="AC117" s="63">
        <v>3.4943235420989206E-3</v>
      </c>
      <c r="AD117" s="63">
        <v>8.5937677856264515E-3</v>
      </c>
      <c r="AE117" s="63">
        <v>3.5533356355167008E-3</v>
      </c>
    </row>
    <row r="118" spans="1:31" x14ac:dyDescent="0.3">
      <c r="A118" t="s">
        <v>50</v>
      </c>
      <c r="B118" s="63">
        <v>9.5663911842571098E-4</v>
      </c>
      <c r="C118" s="63">
        <v>9.1498043128570574E-4</v>
      </c>
      <c r="D118" s="63">
        <v>1.3718704045986197E-3</v>
      </c>
      <c r="E118" s="63">
        <v>1.3673909837570728E-3</v>
      </c>
      <c r="F118" s="63">
        <v>7.4079640794721578E-4</v>
      </c>
      <c r="G118" s="63">
        <v>1.256161736378448E-3</v>
      </c>
      <c r="H118" s="63">
        <v>1.3282523437938068E-3</v>
      </c>
      <c r="I118" s="63">
        <v>1.2334651992766438E-3</v>
      </c>
      <c r="J118" s="63">
        <v>9.1959209453043838E-4</v>
      </c>
      <c r="K118" s="63">
        <v>8.5923951953882052E-4</v>
      </c>
      <c r="L118" s="63">
        <v>4.6821171399265575E-4</v>
      </c>
      <c r="M118" s="63">
        <v>1.5428929525017777E-3</v>
      </c>
      <c r="N118" s="63">
        <v>1.1942598397626527E-3</v>
      </c>
      <c r="O118" s="63">
        <v>7.3399962082955513E-4</v>
      </c>
      <c r="P118" s="63">
        <v>9.5048819579589402E-4</v>
      </c>
      <c r="Q118" s="63">
        <v>3.1663608432768893E-3</v>
      </c>
      <c r="R118" s="63">
        <v>7.2349058388231752E-4</v>
      </c>
      <c r="S118" s="63">
        <v>1.3074073553437551E-3</v>
      </c>
      <c r="T118" s="63">
        <v>2.6767986992444356E-3</v>
      </c>
      <c r="U118" s="63">
        <v>2.1498946558537522E-3</v>
      </c>
      <c r="V118" s="63">
        <v>2.666461224297448E-3</v>
      </c>
      <c r="W118" s="63">
        <v>1.4583967615928691E-3</v>
      </c>
      <c r="X118" s="63">
        <v>1.5320571364968905E-3</v>
      </c>
      <c r="Y118" s="63">
        <v>7.6458159160457801E-4</v>
      </c>
      <c r="Z118" s="63">
        <v>1.0907007444992472E-3</v>
      </c>
      <c r="AA118" s="63">
        <v>2.6409200706091563E-3</v>
      </c>
      <c r="AB118" s="63">
        <v>1.5092846948161671E-3</v>
      </c>
      <c r="AC118" s="63">
        <v>1.1267013387991495E-3</v>
      </c>
      <c r="AD118" s="63">
        <v>1.1688517431267371E-3</v>
      </c>
      <c r="AE118" s="63">
        <v>1.0670574801908868E-3</v>
      </c>
    </row>
    <row r="119" spans="1:31" x14ac:dyDescent="0.3">
      <c r="A119" t="s">
        <v>51</v>
      </c>
      <c r="B119" s="63">
        <v>1.7106890543973508E-3</v>
      </c>
      <c r="C119" s="63">
        <v>3.6805479521413694E-3</v>
      </c>
      <c r="D119" s="63">
        <v>2.248716332040547E-3</v>
      </c>
      <c r="E119" s="63">
        <v>1.6598474114162232E-3</v>
      </c>
      <c r="F119" s="63">
        <v>1.6846551410446835E-3</v>
      </c>
      <c r="G119" s="63">
        <v>2.0160278874046525E-3</v>
      </c>
      <c r="H119" s="63">
        <v>1.8787506150263855E-3</v>
      </c>
      <c r="I119" s="63">
        <v>2.9454354947826681E-3</v>
      </c>
      <c r="J119" s="63">
        <v>2.6140605673320503E-3</v>
      </c>
      <c r="K119" s="63">
        <v>2.5760837784874527E-3</v>
      </c>
      <c r="L119" s="63">
        <v>1.0946850438657988E-3</v>
      </c>
      <c r="M119" s="63">
        <v>1.1817881621429547E-3</v>
      </c>
      <c r="N119" s="63">
        <v>3.3733384939659233E-3</v>
      </c>
      <c r="O119" s="63">
        <v>9.9650457611702306E-4</v>
      </c>
      <c r="P119" s="63">
        <v>4.0015712546615052E-3</v>
      </c>
      <c r="Q119" s="63">
        <v>7.2349058388231752E-4</v>
      </c>
      <c r="R119" s="63">
        <v>3.938368401358641E-3</v>
      </c>
      <c r="S119" s="63">
        <v>1.2550773916673995E-3</v>
      </c>
      <c r="T119" s="63">
        <v>2.136031324929415E-3</v>
      </c>
      <c r="U119" s="63">
        <v>2.9773394096317186E-3</v>
      </c>
      <c r="V119" s="63">
        <v>6.8672448205785316E-4</v>
      </c>
      <c r="W119" s="63">
        <v>1.9092317195090231E-3</v>
      </c>
      <c r="X119" s="63">
        <v>1.5394907132375291E-3</v>
      </c>
      <c r="Y119" s="63">
        <v>2.246363345544798E-3</v>
      </c>
      <c r="Z119" s="63">
        <v>2.2076070109520009E-3</v>
      </c>
      <c r="AA119" s="63">
        <v>3.4135789223413088E-3</v>
      </c>
      <c r="AB119" s="63">
        <v>1.7709192772974896E-3</v>
      </c>
      <c r="AC119" s="63">
        <v>1.4424001746347621E-3</v>
      </c>
      <c r="AD119" s="63">
        <v>3.6490151467188409E-3</v>
      </c>
      <c r="AE119" s="63">
        <v>1.1019884486609215E-3</v>
      </c>
    </row>
    <row r="120" spans="1:31" x14ac:dyDescent="0.3">
      <c r="A120" t="s">
        <v>52</v>
      </c>
      <c r="B120" s="63">
        <v>7.5069491414041809E-4</v>
      </c>
      <c r="C120" s="63">
        <v>2.4866604870511341E-3</v>
      </c>
      <c r="D120" s="63">
        <v>3.226059817276091E-4</v>
      </c>
      <c r="E120" s="63">
        <v>2.1514188194490576E-3</v>
      </c>
      <c r="F120" s="63">
        <v>1.9882333282531233E-3</v>
      </c>
      <c r="G120" s="63">
        <v>1.4585693144848818E-3</v>
      </c>
      <c r="H120" s="63">
        <v>1.2838844712973539E-3</v>
      </c>
      <c r="I120" s="63">
        <v>2.1007910609101357E-3</v>
      </c>
      <c r="J120" s="63">
        <v>1.781831350892405E-3</v>
      </c>
      <c r="K120" s="63">
        <v>1.7594147884001912E-3</v>
      </c>
      <c r="L120" s="63">
        <v>3.9425266804311415E-4</v>
      </c>
      <c r="M120" s="63">
        <v>1.1581105256286452E-3</v>
      </c>
      <c r="N120" s="63">
        <v>2.5994978103856263E-3</v>
      </c>
      <c r="O120" s="63">
        <v>1.6261601038383665E-3</v>
      </c>
      <c r="P120" s="63">
        <v>2.5378629332827272E-3</v>
      </c>
      <c r="Q120" s="63">
        <v>1.3074073553437551E-3</v>
      </c>
      <c r="R120" s="63">
        <v>1.2550773916673995E-3</v>
      </c>
      <c r="S120" s="63">
        <v>2.9217116030641221E-3</v>
      </c>
      <c r="T120" s="63">
        <v>1.5047797555727143E-3</v>
      </c>
      <c r="U120" s="63">
        <v>2.4581260570050696E-3</v>
      </c>
      <c r="V120" s="63">
        <v>8.2752979072917249E-4</v>
      </c>
      <c r="W120" s="63">
        <v>1.9202569084776344E-3</v>
      </c>
      <c r="X120" s="63">
        <v>1.2609179485031073E-3</v>
      </c>
      <c r="Y120" s="63">
        <v>1.5964286575237427E-3</v>
      </c>
      <c r="Z120" s="63">
        <v>2.0593967819088742E-3</v>
      </c>
      <c r="AA120" s="63">
        <v>3.3599849397208921E-3</v>
      </c>
      <c r="AB120" s="63">
        <v>1.9828600022248162E-3</v>
      </c>
      <c r="AC120" s="63">
        <v>1.799994526404607E-3</v>
      </c>
      <c r="AD120" s="63">
        <v>2.9647709316486309E-3</v>
      </c>
      <c r="AE120" s="63">
        <v>2.0597365548397223E-3</v>
      </c>
    </row>
    <row r="121" spans="1:31" x14ac:dyDescent="0.3">
      <c r="A121" t="s">
        <v>53</v>
      </c>
      <c r="B121" s="63">
        <v>2.3600057710029226E-3</v>
      </c>
      <c r="C121" s="63">
        <v>3.5356993719671717E-3</v>
      </c>
      <c r="D121" s="63">
        <v>3.5574189684292861E-3</v>
      </c>
      <c r="E121" s="63">
        <v>2.3283317584243965E-3</v>
      </c>
      <c r="F121" s="63">
        <v>1.7814822223195244E-3</v>
      </c>
      <c r="G121" s="63">
        <v>2.1326924895178215E-3</v>
      </c>
      <c r="H121" s="63">
        <v>1.8889522172047873E-3</v>
      </c>
      <c r="I121" s="63">
        <v>2.3514714687813362E-3</v>
      </c>
      <c r="J121" s="63">
        <v>3.0430986503302989E-3</v>
      </c>
      <c r="K121" s="63">
        <v>1.7408268119949489E-3</v>
      </c>
      <c r="L121" s="63">
        <v>1.4525177412502367E-3</v>
      </c>
      <c r="M121" s="63">
        <v>2.5763689999021453E-3</v>
      </c>
      <c r="N121" s="63">
        <v>3.8336732478234455E-3</v>
      </c>
      <c r="O121" s="63">
        <v>1.5213014232857204E-3</v>
      </c>
      <c r="P121" s="63">
        <v>3.5071111909898019E-3</v>
      </c>
      <c r="Q121" s="63">
        <v>2.6767986992444356E-3</v>
      </c>
      <c r="R121" s="63">
        <v>2.136031324929415E-3</v>
      </c>
      <c r="S121" s="63">
        <v>1.5047797555727143E-3</v>
      </c>
      <c r="T121" s="63">
        <v>1.2888134866958506E-2</v>
      </c>
      <c r="U121" s="63">
        <v>3.4395232916836602E-3</v>
      </c>
      <c r="V121" s="63">
        <v>2.2450227329039638E-3</v>
      </c>
      <c r="W121" s="63">
        <v>3.011629779659142E-3</v>
      </c>
      <c r="X121" s="63">
        <v>6.1282675731933623E-3</v>
      </c>
      <c r="Y121" s="63">
        <v>2.0081343310658839E-3</v>
      </c>
      <c r="Z121" s="63">
        <v>2.5387215223536754E-3</v>
      </c>
      <c r="AA121" s="63">
        <v>4.8526969615829869E-3</v>
      </c>
      <c r="AB121" s="63">
        <v>1.5732357858247062E-3</v>
      </c>
      <c r="AC121" s="63">
        <v>1.1693750823786508E-3</v>
      </c>
      <c r="AD121" s="63">
        <v>4.4933947567624899E-3</v>
      </c>
      <c r="AE121" s="63">
        <v>1.5867521630024619E-3</v>
      </c>
    </row>
    <row r="122" spans="1:31" x14ac:dyDescent="0.3">
      <c r="A122" t="s">
        <v>15</v>
      </c>
      <c r="B122" s="63">
        <v>1.9746867900729162E-3</v>
      </c>
      <c r="C122" s="63">
        <v>5.8567620889917087E-3</v>
      </c>
      <c r="D122" s="63">
        <v>3.5197411452386287E-3</v>
      </c>
      <c r="E122" s="63">
        <v>2.8244740356994169E-3</v>
      </c>
      <c r="F122" s="63">
        <v>4.3933039776248017E-3</v>
      </c>
      <c r="G122" s="63">
        <v>3.7813528018831965E-3</v>
      </c>
      <c r="H122" s="63">
        <v>3.0641686413297848E-3</v>
      </c>
      <c r="I122" s="63">
        <v>5.4325618721016728E-3</v>
      </c>
      <c r="J122" s="63">
        <v>5.2861214984274724E-3</v>
      </c>
      <c r="K122" s="63">
        <v>4.4139992540125827E-3</v>
      </c>
      <c r="L122" s="63">
        <v>2.1147813110168354E-4</v>
      </c>
      <c r="M122" s="63">
        <v>3.4229565698009798E-3</v>
      </c>
      <c r="N122" s="63">
        <v>6.0660657247355032E-3</v>
      </c>
      <c r="O122" s="63">
        <v>2.6268597763200252E-3</v>
      </c>
      <c r="P122" s="63">
        <v>5.9337857576132877E-3</v>
      </c>
      <c r="Q122" s="63">
        <v>2.1498946558537522E-3</v>
      </c>
      <c r="R122" s="63">
        <v>2.9773394096317186E-3</v>
      </c>
      <c r="S122" s="63">
        <v>2.4581260570050696E-3</v>
      </c>
      <c r="T122" s="63">
        <v>3.4395232916836602E-3</v>
      </c>
      <c r="U122" s="63">
        <v>9.4303389923153166E-3</v>
      </c>
      <c r="V122" s="63">
        <v>1.0815715321988073E-3</v>
      </c>
      <c r="W122" s="63">
        <v>2.9038671774632156E-3</v>
      </c>
      <c r="X122" s="63">
        <v>2.1075608953974199E-3</v>
      </c>
      <c r="Y122" s="63">
        <v>4.6770011115462298E-3</v>
      </c>
      <c r="Z122" s="63">
        <v>5.8290088539069132E-3</v>
      </c>
      <c r="AA122" s="63">
        <v>9.2204128091659694E-3</v>
      </c>
      <c r="AB122" s="63">
        <v>4.2628225954180546E-3</v>
      </c>
      <c r="AC122" s="63">
        <v>3.9106853215895498E-3</v>
      </c>
      <c r="AD122" s="63">
        <v>8.09599442702553E-3</v>
      </c>
      <c r="AE122" s="63">
        <v>4.0311611390987882E-3</v>
      </c>
    </row>
    <row r="123" spans="1:31" x14ac:dyDescent="0.3">
      <c r="A123" t="s">
        <v>54</v>
      </c>
      <c r="B123" s="63">
        <v>6.9123639118671162E-4</v>
      </c>
      <c r="C123" s="63">
        <v>3.6586966277002073E-4</v>
      </c>
      <c r="D123" s="63">
        <v>9.1615708699997788E-4</v>
      </c>
      <c r="E123" s="63">
        <v>5.7732531805224823E-4</v>
      </c>
      <c r="F123" s="63">
        <v>6.699546072629581E-5</v>
      </c>
      <c r="G123" s="63">
        <v>9.4322029082712718E-4</v>
      </c>
      <c r="H123" s="63">
        <v>6.5361274837922798E-4</v>
      </c>
      <c r="I123" s="63">
        <v>4.8357813194424256E-4</v>
      </c>
      <c r="J123" s="63">
        <v>1.0389046466522409E-3</v>
      </c>
      <c r="K123" s="63">
        <v>4.4372076386075079E-4</v>
      </c>
      <c r="L123" s="63">
        <v>6.3345055165224323E-4</v>
      </c>
      <c r="M123" s="63">
        <v>1.1693402275278061E-3</v>
      </c>
      <c r="N123" s="63">
        <v>4.2265971299996845E-4</v>
      </c>
      <c r="O123" s="63">
        <v>4.3080250768179589E-4</v>
      </c>
      <c r="P123" s="63">
        <v>5.1917901212123353E-4</v>
      </c>
      <c r="Q123" s="63">
        <v>2.666461224297448E-3</v>
      </c>
      <c r="R123" s="63">
        <v>6.8672448205785316E-4</v>
      </c>
      <c r="S123" s="63">
        <v>8.2752979072917249E-4</v>
      </c>
      <c r="T123" s="63">
        <v>2.2450227329039638E-3</v>
      </c>
      <c r="U123" s="63">
        <v>1.0815715321988073E-3</v>
      </c>
      <c r="V123" s="63">
        <v>3.6183920007446723E-3</v>
      </c>
      <c r="W123" s="63">
        <v>8.9614116328063352E-4</v>
      </c>
      <c r="X123" s="63">
        <v>1.1718918157301195E-3</v>
      </c>
      <c r="Y123" s="63">
        <v>4.170572621284721E-5</v>
      </c>
      <c r="Z123" s="63">
        <v>7.4693325834822115E-4</v>
      </c>
      <c r="AA123" s="63">
        <v>1.4981300761684995E-3</v>
      </c>
      <c r="AB123" s="63">
        <v>1.0581443212937024E-3</v>
      </c>
      <c r="AC123" s="63">
        <v>5.6210738185387236E-4</v>
      </c>
      <c r="AD123" s="63">
        <v>8.7168276341616127E-4</v>
      </c>
      <c r="AE123" s="63">
        <v>3.9533756765283229E-4</v>
      </c>
    </row>
    <row r="124" spans="1:31" x14ac:dyDescent="0.3">
      <c r="A124" t="s">
        <v>55</v>
      </c>
      <c r="B124" s="63">
        <v>1.8120435642693046E-3</v>
      </c>
      <c r="C124" s="63">
        <v>2.4795458881906396E-3</v>
      </c>
      <c r="D124" s="63">
        <v>2.383582057335847E-3</v>
      </c>
      <c r="E124" s="63">
        <v>3.1450387477968919E-3</v>
      </c>
      <c r="F124" s="63">
        <v>2.1479629930577066E-3</v>
      </c>
      <c r="G124" s="63">
        <v>2.5906351181880869E-3</v>
      </c>
      <c r="H124" s="63">
        <v>2.4117110190098648E-3</v>
      </c>
      <c r="I124" s="63">
        <v>3.1293529022805547E-3</v>
      </c>
      <c r="J124" s="63">
        <v>3.0980845852455665E-3</v>
      </c>
      <c r="K124" s="63">
        <v>2.607118829770062E-3</v>
      </c>
      <c r="L124" s="63">
        <v>1.5641899231816977E-3</v>
      </c>
      <c r="M124" s="63">
        <v>1.4423513431174255E-3</v>
      </c>
      <c r="N124" s="63">
        <v>2.7390410031274256E-3</v>
      </c>
      <c r="O124" s="63">
        <v>2.4280857864644079E-3</v>
      </c>
      <c r="P124" s="63">
        <v>4.368598343219403E-3</v>
      </c>
      <c r="Q124" s="63">
        <v>1.4583967615928691E-3</v>
      </c>
      <c r="R124" s="63">
        <v>1.9092317195090231E-3</v>
      </c>
      <c r="S124" s="63">
        <v>1.9202569084776344E-3</v>
      </c>
      <c r="T124" s="63">
        <v>3.011629779659142E-3</v>
      </c>
      <c r="U124" s="63">
        <v>2.9038671774632156E-3</v>
      </c>
      <c r="V124" s="63">
        <v>8.9614116328063352E-4</v>
      </c>
      <c r="W124" s="63">
        <v>5.3473114548986712E-3</v>
      </c>
      <c r="X124" s="63">
        <v>1.9778414199021258E-3</v>
      </c>
      <c r="Y124" s="63">
        <v>2.6422451154458288E-3</v>
      </c>
      <c r="Z124" s="63">
        <v>3.1655166652587948E-3</v>
      </c>
      <c r="AA124" s="63">
        <v>5.5010915080669839E-3</v>
      </c>
      <c r="AB124" s="63">
        <v>9.9215318143982124E-4</v>
      </c>
      <c r="AC124" s="63">
        <v>1.5667997093260617E-3</v>
      </c>
      <c r="AD124" s="63">
        <v>3.0982851073354783E-3</v>
      </c>
      <c r="AE124" s="63">
        <v>1.753049383319066E-3</v>
      </c>
    </row>
    <row r="125" spans="1:31" x14ac:dyDescent="0.3">
      <c r="A125" t="s">
        <v>56</v>
      </c>
      <c r="B125" s="63">
        <v>1.1540966804552302E-3</v>
      </c>
      <c r="C125" s="63">
        <v>4.079671421913348E-3</v>
      </c>
      <c r="D125" s="63">
        <v>2.1702026703433659E-3</v>
      </c>
      <c r="E125" s="63">
        <v>2.0817894334128162E-3</v>
      </c>
      <c r="F125" s="63">
        <v>1.5724590754507776E-3</v>
      </c>
      <c r="G125" s="63">
        <v>1.7420497678581025E-3</v>
      </c>
      <c r="H125" s="63">
        <v>1.5025559409206277E-3</v>
      </c>
      <c r="I125" s="63">
        <v>2.2664922543573214E-3</v>
      </c>
      <c r="J125" s="63">
        <v>1.357927401447869E-3</v>
      </c>
      <c r="K125" s="63">
        <v>1.8723169695680584E-3</v>
      </c>
      <c r="L125" s="63">
        <v>7.9161824507771193E-4</v>
      </c>
      <c r="M125" s="63">
        <v>9.2414605387061872E-4</v>
      </c>
      <c r="N125" s="63">
        <v>3.8898734855652571E-3</v>
      </c>
      <c r="O125" s="63">
        <v>5.9247078761677941E-4</v>
      </c>
      <c r="P125" s="63">
        <v>3.6029111530989553E-3</v>
      </c>
      <c r="Q125" s="63">
        <v>1.5320571364968905E-3</v>
      </c>
      <c r="R125" s="63">
        <v>1.5394907132375291E-3</v>
      </c>
      <c r="S125" s="63">
        <v>1.2609179485031073E-3</v>
      </c>
      <c r="T125" s="63">
        <v>6.1282675731933623E-3</v>
      </c>
      <c r="U125" s="63">
        <v>2.1075608953974199E-3</v>
      </c>
      <c r="V125" s="63">
        <v>1.1718918157301195E-3</v>
      </c>
      <c r="W125" s="63">
        <v>1.9778414199021258E-3</v>
      </c>
      <c r="X125" s="63">
        <v>5.5802055211083132E-3</v>
      </c>
      <c r="Y125" s="63">
        <v>1.3701539089596667E-3</v>
      </c>
      <c r="Z125" s="63">
        <v>1.4424883990414659E-3</v>
      </c>
      <c r="AA125" s="63">
        <v>2.9104991939697721E-3</v>
      </c>
      <c r="AB125" s="63">
        <v>8.157273777875426E-4</v>
      </c>
      <c r="AC125" s="63">
        <v>8.890399363504581E-4</v>
      </c>
      <c r="AD125" s="63">
        <v>2.6087588950979229E-3</v>
      </c>
      <c r="AE125" s="63">
        <v>1.2751995956839705E-3</v>
      </c>
    </row>
    <row r="126" spans="1:31" x14ac:dyDescent="0.3">
      <c r="A126" t="s">
        <v>57</v>
      </c>
      <c r="B126" s="63">
        <v>1.9433031419644308E-3</v>
      </c>
      <c r="C126" s="63">
        <v>5.7026644189779093E-3</v>
      </c>
      <c r="D126" s="63">
        <v>3.4629976578599213E-3</v>
      </c>
      <c r="E126" s="63">
        <v>3.0891143466083063E-3</v>
      </c>
      <c r="F126" s="63">
        <v>4.152081607538001E-3</v>
      </c>
      <c r="G126" s="63">
        <v>3.7514856395148804E-3</v>
      </c>
      <c r="H126" s="63">
        <v>3.6074959413396859E-3</v>
      </c>
      <c r="I126" s="63">
        <v>5.9218241703404258E-3</v>
      </c>
      <c r="J126" s="63">
        <v>5.0814341261584796E-3</v>
      </c>
      <c r="K126" s="63">
        <v>5.2553467810551096E-3</v>
      </c>
      <c r="L126" s="63">
        <v>-1.6543932340645803E-4</v>
      </c>
      <c r="M126" s="63">
        <v>2.4335330278885841E-3</v>
      </c>
      <c r="N126" s="63">
        <v>5.8259637419216534E-3</v>
      </c>
      <c r="O126" s="63">
        <v>2.6978319876377523E-3</v>
      </c>
      <c r="P126" s="63">
        <v>6.4703172983487768E-3</v>
      </c>
      <c r="Q126" s="63">
        <v>7.6458159160457801E-4</v>
      </c>
      <c r="R126" s="63">
        <v>2.246363345544798E-3</v>
      </c>
      <c r="S126" s="63">
        <v>1.5964286575237427E-3</v>
      </c>
      <c r="T126" s="63">
        <v>2.0081343310658839E-3</v>
      </c>
      <c r="U126" s="63">
        <v>4.6770011115462298E-3</v>
      </c>
      <c r="V126" s="63">
        <v>4.170572621284721E-5</v>
      </c>
      <c r="W126" s="63">
        <v>2.6422451154458288E-3</v>
      </c>
      <c r="X126" s="63">
        <v>1.3701539089596667E-3</v>
      </c>
      <c r="Y126" s="63">
        <v>5.7848069594524775E-3</v>
      </c>
      <c r="Z126" s="63">
        <v>5.3151006263331716E-3</v>
      </c>
      <c r="AA126" s="63">
        <v>7.5542530621858471E-3</v>
      </c>
      <c r="AB126" s="63">
        <v>2.1349115809638996E-3</v>
      </c>
      <c r="AC126" s="63">
        <v>3.1333846356201888E-3</v>
      </c>
      <c r="AD126" s="63">
        <v>6.7893213556988923E-3</v>
      </c>
      <c r="AE126" s="63">
        <v>3.2585599076153365E-3</v>
      </c>
    </row>
    <row r="127" spans="1:31" x14ac:dyDescent="0.3">
      <c r="A127" t="s">
        <v>58</v>
      </c>
      <c r="B127" s="63">
        <v>1.7364539456058284E-3</v>
      </c>
      <c r="C127" s="63">
        <v>6.3819744071839535E-3</v>
      </c>
      <c r="D127" s="63">
        <v>2.1866615723753527E-3</v>
      </c>
      <c r="E127" s="63">
        <v>2.8444248987025507E-3</v>
      </c>
      <c r="F127" s="63">
        <v>4.3127698574231292E-3</v>
      </c>
      <c r="G127" s="63">
        <v>4.1789886878068555E-3</v>
      </c>
      <c r="H127" s="63">
        <v>3.2591024138710267E-3</v>
      </c>
      <c r="I127" s="63">
        <v>7.3302384046999413E-3</v>
      </c>
      <c r="J127" s="63">
        <v>6.9452665682849524E-3</v>
      </c>
      <c r="K127" s="63">
        <v>5.97724779836216E-3</v>
      </c>
      <c r="L127" s="63">
        <v>5.3610085630297413E-4</v>
      </c>
      <c r="M127" s="63">
        <v>3.1748469422523099E-3</v>
      </c>
      <c r="N127" s="63">
        <v>6.5849640930353021E-3</v>
      </c>
      <c r="O127" s="63">
        <v>3.8927745877437949E-3</v>
      </c>
      <c r="P127" s="63">
        <v>7.308237407426782E-3</v>
      </c>
      <c r="Q127" s="63">
        <v>1.0907007444992472E-3</v>
      </c>
      <c r="R127" s="63">
        <v>2.2076070109520009E-3</v>
      </c>
      <c r="S127" s="63">
        <v>2.0593967819088742E-3</v>
      </c>
      <c r="T127" s="63">
        <v>2.5387215223536754E-3</v>
      </c>
      <c r="U127" s="63">
        <v>5.8290088539069132E-3</v>
      </c>
      <c r="V127" s="63">
        <v>7.4693325834822115E-4</v>
      </c>
      <c r="W127" s="63">
        <v>3.1655166652587948E-3</v>
      </c>
      <c r="X127" s="63">
        <v>1.4424883990414659E-3</v>
      </c>
      <c r="Y127" s="63">
        <v>5.3151006263331716E-3</v>
      </c>
      <c r="Z127" s="63">
        <v>8.845875820474091E-3</v>
      </c>
      <c r="AA127" s="63">
        <v>1.0617560828778509E-2</v>
      </c>
      <c r="AB127" s="63">
        <v>2.9681305218098122E-3</v>
      </c>
      <c r="AC127" s="63">
        <v>3.5274560754207668E-3</v>
      </c>
      <c r="AD127" s="63">
        <v>8.3055228717136553E-3</v>
      </c>
      <c r="AE127" s="63">
        <v>3.8116290986035268E-3</v>
      </c>
    </row>
    <row r="128" spans="1:31" x14ac:dyDescent="0.3">
      <c r="A128" t="s">
        <v>59</v>
      </c>
      <c r="B128" s="63">
        <v>3.1166687133878487E-3</v>
      </c>
      <c r="C128" s="63">
        <v>9.1378892663955182E-3</v>
      </c>
      <c r="D128" s="63">
        <v>4.9178305202009481E-3</v>
      </c>
      <c r="E128" s="63">
        <v>4.8142831983273814E-3</v>
      </c>
      <c r="F128" s="63">
        <v>6.0680443552748155E-3</v>
      </c>
      <c r="G128" s="63">
        <v>6.0890993093112569E-3</v>
      </c>
      <c r="H128" s="63">
        <v>6.1668034523249451E-3</v>
      </c>
      <c r="I128" s="63">
        <v>9.5449616457973993E-3</v>
      </c>
      <c r="J128" s="63">
        <v>1.0101437266593322E-2</v>
      </c>
      <c r="K128" s="63">
        <v>7.47245834343739E-3</v>
      </c>
      <c r="L128" s="63">
        <v>7.32360345164446E-4</v>
      </c>
      <c r="M128" s="63">
        <v>5.6740114408066469E-3</v>
      </c>
      <c r="N128" s="63">
        <v>9.916240560862731E-3</v>
      </c>
      <c r="O128" s="63">
        <v>5.6212203663312558E-3</v>
      </c>
      <c r="P128" s="63">
        <v>9.5505128961767324E-3</v>
      </c>
      <c r="Q128" s="63">
        <v>2.6409200706091563E-3</v>
      </c>
      <c r="R128" s="63">
        <v>3.4135789223413088E-3</v>
      </c>
      <c r="S128" s="63">
        <v>3.3599849397208921E-3</v>
      </c>
      <c r="T128" s="63">
        <v>4.8526969615829869E-3</v>
      </c>
      <c r="U128" s="63">
        <v>9.2204128091659694E-3</v>
      </c>
      <c r="V128" s="63">
        <v>1.4981300761684995E-3</v>
      </c>
      <c r="W128" s="63">
        <v>5.5010915080669839E-3</v>
      </c>
      <c r="X128" s="63">
        <v>2.9104991939697721E-3</v>
      </c>
      <c r="Y128" s="63">
        <v>7.5542530621858471E-3</v>
      </c>
      <c r="Z128" s="63">
        <v>1.0617560828778509E-2</v>
      </c>
      <c r="AA128" s="63">
        <v>2.2541525873213404E-2</v>
      </c>
      <c r="AB128" s="63">
        <v>5.1118762411525766E-3</v>
      </c>
      <c r="AC128" s="63">
        <v>4.8249493302462846E-3</v>
      </c>
      <c r="AD128" s="63">
        <v>1.228236899167395E-2</v>
      </c>
      <c r="AE128" s="63">
        <v>5.7117479602501508E-3</v>
      </c>
    </row>
    <row r="129" spans="1:31" x14ac:dyDescent="0.3">
      <c r="A129" t="s">
        <v>16</v>
      </c>
      <c r="B129" s="63">
        <v>1.2086178531878398E-3</v>
      </c>
      <c r="C129" s="63">
        <v>1.8429309718483217E-3</v>
      </c>
      <c r="D129" s="63">
        <v>9.6081333470328151E-4</v>
      </c>
      <c r="E129" s="63">
        <v>1.7458317327857494E-3</v>
      </c>
      <c r="F129" s="63">
        <v>1.4847253270266073E-3</v>
      </c>
      <c r="G129" s="63">
        <v>1.4256780993732307E-3</v>
      </c>
      <c r="H129" s="63">
        <v>1.5463198460653528E-3</v>
      </c>
      <c r="I129" s="63">
        <v>2.4419870474809884E-3</v>
      </c>
      <c r="J129" s="63">
        <v>2.4204257927906091E-3</v>
      </c>
      <c r="K129" s="63">
        <v>1.7451344782734191E-3</v>
      </c>
      <c r="L129" s="63">
        <v>5.3308099379059241E-5</v>
      </c>
      <c r="M129" s="63">
        <v>2.5594237623329276E-3</v>
      </c>
      <c r="N129" s="63">
        <v>1.9567430279687588E-3</v>
      </c>
      <c r="O129" s="63">
        <v>4.0846774786940268E-5</v>
      </c>
      <c r="P129" s="63">
        <v>4.7585275602122831E-3</v>
      </c>
      <c r="Q129" s="63">
        <v>1.5092846948161671E-3</v>
      </c>
      <c r="R129" s="63">
        <v>1.7709192772974896E-3</v>
      </c>
      <c r="S129" s="63">
        <v>1.9828600022248162E-3</v>
      </c>
      <c r="T129" s="63">
        <v>1.5732357858247062E-3</v>
      </c>
      <c r="U129" s="63">
        <v>4.2628225954180546E-3</v>
      </c>
      <c r="V129" s="63">
        <v>1.0581443212937024E-3</v>
      </c>
      <c r="W129" s="63">
        <v>9.9215318143982124E-4</v>
      </c>
      <c r="X129" s="63">
        <v>8.157273777875426E-4</v>
      </c>
      <c r="Y129" s="63">
        <v>2.1349115809638996E-3</v>
      </c>
      <c r="Z129" s="63">
        <v>2.9681305218098122E-3</v>
      </c>
      <c r="AA129" s="63">
        <v>5.1118762411525766E-3</v>
      </c>
      <c r="AB129" s="63">
        <v>7.2960460110875957E-3</v>
      </c>
      <c r="AC129" s="63">
        <v>1.5141978433297382E-3</v>
      </c>
      <c r="AD129" s="63">
        <v>2.5546954984916122E-3</v>
      </c>
      <c r="AE129" s="63">
        <v>1.5857163312660524E-3</v>
      </c>
    </row>
    <row r="130" spans="1:31" x14ac:dyDescent="0.3">
      <c r="A130" t="s">
        <v>60</v>
      </c>
      <c r="B130" s="63">
        <v>1.45606915048578E-3</v>
      </c>
      <c r="C130" s="63">
        <v>3.8822071295009919E-3</v>
      </c>
      <c r="D130" s="63">
        <v>1.2000365374160071E-3</v>
      </c>
      <c r="E130" s="63">
        <v>2.4646757360674873E-3</v>
      </c>
      <c r="F130" s="63">
        <v>3.7248298520269601E-3</v>
      </c>
      <c r="G130" s="63">
        <v>2.6759469374499113E-3</v>
      </c>
      <c r="H130" s="63">
        <v>2.1373962145003439E-3</v>
      </c>
      <c r="I130" s="63">
        <v>4.0922765559085819E-3</v>
      </c>
      <c r="J130" s="63">
        <v>3.2471699592072486E-3</v>
      </c>
      <c r="K130" s="63">
        <v>3.5296212393389585E-3</v>
      </c>
      <c r="L130" s="63">
        <v>-1.9414786655893706E-4</v>
      </c>
      <c r="M130" s="63">
        <v>1.9187205928992974E-3</v>
      </c>
      <c r="N130" s="63">
        <v>4.0589330120773051E-3</v>
      </c>
      <c r="O130" s="63">
        <v>1.8860732537281846E-3</v>
      </c>
      <c r="P130" s="63">
        <v>3.4943235420989206E-3</v>
      </c>
      <c r="Q130" s="63">
        <v>1.1267013387991495E-3</v>
      </c>
      <c r="R130" s="63">
        <v>1.4424001746347621E-3</v>
      </c>
      <c r="S130" s="63">
        <v>1.799994526404607E-3</v>
      </c>
      <c r="T130" s="63">
        <v>1.1693750823786508E-3</v>
      </c>
      <c r="U130" s="63">
        <v>3.9106853215895498E-3</v>
      </c>
      <c r="V130" s="63">
        <v>5.6210738185387236E-4</v>
      </c>
      <c r="W130" s="63">
        <v>1.5667997093260617E-3</v>
      </c>
      <c r="X130" s="63">
        <v>8.890399363504581E-4</v>
      </c>
      <c r="Y130" s="63">
        <v>3.1333846356201888E-3</v>
      </c>
      <c r="Z130" s="63">
        <v>3.5274560754207668E-3</v>
      </c>
      <c r="AA130" s="63">
        <v>4.8249493302462846E-3</v>
      </c>
      <c r="AB130" s="63">
        <v>1.5141978433297382E-3</v>
      </c>
      <c r="AC130" s="63">
        <v>4.1593914991968958E-3</v>
      </c>
      <c r="AD130" s="63">
        <v>4.9176475035715445E-3</v>
      </c>
      <c r="AE130" s="63">
        <v>3.1936903995830579E-3</v>
      </c>
    </row>
    <row r="131" spans="1:31" x14ac:dyDescent="0.3">
      <c r="A131" t="s">
        <v>61</v>
      </c>
      <c r="B131" s="63">
        <v>1.943169167651723E-3</v>
      </c>
      <c r="C131" s="63">
        <v>9.8298896391867934E-3</v>
      </c>
      <c r="D131" s="63">
        <v>6.5757909781266445E-3</v>
      </c>
      <c r="E131" s="63">
        <v>3.9696606660632617E-3</v>
      </c>
      <c r="F131" s="63">
        <v>6.0345769317669091E-3</v>
      </c>
      <c r="G131" s="63">
        <v>5.6207532036572768E-3</v>
      </c>
      <c r="H131" s="63">
        <v>4.1293042885421497E-3</v>
      </c>
      <c r="I131" s="63">
        <v>8.1996098382163471E-3</v>
      </c>
      <c r="J131" s="63">
        <v>7.2734508141150409E-3</v>
      </c>
      <c r="K131" s="63">
        <v>6.6485223847282809E-3</v>
      </c>
      <c r="L131" s="63">
        <v>1.364033267883327E-3</v>
      </c>
      <c r="M131" s="63">
        <v>3.1953062542965011E-3</v>
      </c>
      <c r="N131" s="63">
        <v>9.7287475102999978E-3</v>
      </c>
      <c r="O131" s="63">
        <v>3.4699044142861403E-3</v>
      </c>
      <c r="P131" s="63">
        <v>8.5937677856264515E-3</v>
      </c>
      <c r="Q131" s="63">
        <v>1.1688517431267371E-3</v>
      </c>
      <c r="R131" s="63">
        <v>3.6490151467188409E-3</v>
      </c>
      <c r="S131" s="63">
        <v>2.9647709316486309E-3</v>
      </c>
      <c r="T131" s="63">
        <v>4.4933947567624899E-3</v>
      </c>
      <c r="U131" s="63">
        <v>8.09599442702553E-3</v>
      </c>
      <c r="V131" s="63">
        <v>8.7168276341616127E-4</v>
      </c>
      <c r="W131" s="63">
        <v>3.0982851073354783E-3</v>
      </c>
      <c r="X131" s="63">
        <v>2.6087588950979229E-3</v>
      </c>
      <c r="Y131" s="63">
        <v>6.7893213556988923E-3</v>
      </c>
      <c r="Z131" s="63">
        <v>8.3055228717136553E-3</v>
      </c>
      <c r="AA131" s="63">
        <v>1.228236899167395E-2</v>
      </c>
      <c r="AB131" s="63">
        <v>2.5546954984916122E-3</v>
      </c>
      <c r="AC131" s="63">
        <v>4.9176475035715445E-3</v>
      </c>
      <c r="AD131" s="63">
        <v>1.9090064164384024E-2</v>
      </c>
      <c r="AE131" s="63">
        <v>6.0393870610203635E-3</v>
      </c>
    </row>
    <row r="132" spans="1:31" ht="14.5" thickBot="1" x14ac:dyDescent="0.35">
      <c r="A132" s="10" t="s">
        <v>62</v>
      </c>
      <c r="B132" s="64">
        <v>1.1921210953154448E-3</v>
      </c>
      <c r="C132" s="64">
        <v>4.0714430304877522E-3</v>
      </c>
      <c r="D132" s="64">
        <v>1.6728491358270921E-3</v>
      </c>
      <c r="E132" s="64">
        <v>2.2365143836244402E-3</v>
      </c>
      <c r="F132" s="64">
        <v>3.843056397417386E-3</v>
      </c>
      <c r="G132" s="64">
        <v>2.3313656336295106E-3</v>
      </c>
      <c r="H132" s="64">
        <v>2.5722249157352712E-3</v>
      </c>
      <c r="I132" s="64">
        <v>3.9883344027427329E-3</v>
      </c>
      <c r="J132" s="64">
        <v>2.8729765487115369E-3</v>
      </c>
      <c r="K132" s="64">
        <v>3.5670421177579005E-3</v>
      </c>
      <c r="L132" s="64">
        <v>-1.7422386638884697E-4</v>
      </c>
      <c r="M132" s="64">
        <v>2.0298015012944434E-3</v>
      </c>
      <c r="N132" s="64">
        <v>4.417252691005142E-3</v>
      </c>
      <c r="O132" s="64">
        <v>1.9538420122091745E-3</v>
      </c>
      <c r="P132" s="64">
        <v>3.5533356355167008E-3</v>
      </c>
      <c r="Q132" s="64">
        <v>1.0670574801908868E-3</v>
      </c>
      <c r="R132" s="64">
        <v>1.1019884486609215E-3</v>
      </c>
      <c r="S132" s="64">
        <v>2.0597365548397223E-3</v>
      </c>
      <c r="T132" s="64">
        <v>1.5867521630024619E-3</v>
      </c>
      <c r="U132" s="64">
        <v>4.0311611390987882E-3</v>
      </c>
      <c r="V132" s="64">
        <v>3.9533756765283229E-4</v>
      </c>
      <c r="W132" s="64">
        <v>1.753049383319066E-3</v>
      </c>
      <c r="X132" s="64">
        <v>1.2751995956839705E-3</v>
      </c>
      <c r="Y132" s="64">
        <v>3.2585599076153365E-3</v>
      </c>
      <c r="Z132" s="64">
        <v>3.8116290986035268E-3</v>
      </c>
      <c r="AA132" s="64">
        <v>5.7117479602501508E-3</v>
      </c>
      <c r="AB132" s="64">
        <v>1.5857163312660524E-3</v>
      </c>
      <c r="AC132" s="64">
        <v>3.1936903995830579E-3</v>
      </c>
      <c r="AD132" s="64">
        <v>6.0393870610203635E-3</v>
      </c>
      <c r="AE132" s="64">
        <v>4.2711793497885436E-3</v>
      </c>
    </row>
  </sheetData>
  <mergeCells count="1">
    <mergeCell ref="A1:L1"/>
  </mergeCells>
  <pageMargins left="0.25" right="0.25" top="0.75" bottom="0.75" header="0.3" footer="0.3"/>
  <pageSetup scale="2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77A8F-E707-4EE5-80B9-4D24881A7139}">
  <sheetPr codeName="Trang_tính4"/>
  <dimension ref="A1:CK266"/>
  <sheetViews>
    <sheetView topLeftCell="A108" zoomScale="61" zoomScaleNormal="120" workbookViewId="0">
      <selection activeCell="A127" sqref="A127:A129"/>
    </sheetView>
  </sheetViews>
  <sheetFormatPr defaultRowHeight="14" x14ac:dyDescent="0.3"/>
  <cols>
    <col min="1" max="1" width="14.9140625" customWidth="1"/>
    <col min="2" max="2" width="10.83203125" bestFit="1" customWidth="1"/>
    <col min="3" max="3" width="11.9140625" customWidth="1"/>
    <col min="4" max="8" width="11.6640625" bestFit="1" customWidth="1"/>
    <col min="9" max="9" width="10.83203125" customWidth="1"/>
    <col min="10" max="11" width="11" bestFit="1" customWidth="1"/>
    <col min="12" max="15" width="10.6640625" bestFit="1" customWidth="1"/>
    <col min="16" max="16" width="10.25" customWidth="1"/>
    <col min="17" max="18" width="10.6640625" bestFit="1" customWidth="1"/>
    <col min="19" max="22" width="10.4140625" bestFit="1" customWidth="1"/>
    <col min="23" max="23" width="11" bestFit="1" customWidth="1"/>
    <col min="24" max="26" width="10.4140625" bestFit="1" customWidth="1"/>
    <col min="27" max="27" width="11" bestFit="1" customWidth="1"/>
    <col min="28" max="28" width="10.4140625" bestFit="1" customWidth="1"/>
    <col min="29" max="34" width="11.08203125" bestFit="1" customWidth="1"/>
    <col min="35" max="35" width="11.1640625" bestFit="1" customWidth="1"/>
    <col min="36" max="45" width="11" bestFit="1" customWidth="1"/>
  </cols>
  <sheetData>
    <row r="1" spans="1:32" ht="23" x14ac:dyDescent="0.5">
      <c r="A1" s="143" t="s">
        <v>131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</row>
    <row r="2" spans="1:32" x14ac:dyDescent="0.3">
      <c r="AF2" s="18" t="s">
        <v>67</v>
      </c>
    </row>
    <row r="3" spans="1:32" x14ac:dyDescent="0.3">
      <c r="A3" s="7">
        <v>2.4171584895452498E-3</v>
      </c>
      <c r="B3" s="7">
        <v>2.5323916416905489E-3</v>
      </c>
      <c r="C3" s="7">
        <v>1.5773862975043754E-3</v>
      </c>
      <c r="D3" s="7">
        <v>1.5190926538584532E-3</v>
      </c>
      <c r="E3" s="7">
        <v>1.5182306882013693E-3</v>
      </c>
      <c r="F3" s="7">
        <v>2.0586571470224318E-3</v>
      </c>
      <c r="G3" s="7">
        <v>1.9196840423003074E-3</v>
      </c>
      <c r="H3" s="7">
        <v>2.4210001271715259E-3</v>
      </c>
      <c r="I3" s="7">
        <v>2.4293557087830221E-3</v>
      </c>
      <c r="J3" s="7">
        <v>2.2922595760485848E-3</v>
      </c>
      <c r="K3" s="7">
        <v>1.0913961810643039E-4</v>
      </c>
      <c r="L3" s="7">
        <v>1.4249379956879835E-3</v>
      </c>
      <c r="M3" s="7">
        <v>2.6041557088850851E-3</v>
      </c>
      <c r="N3" s="7">
        <v>3.5469406216989972E-4</v>
      </c>
      <c r="O3" s="7">
        <v>2.6439514949065804E-3</v>
      </c>
      <c r="P3" s="7">
        <v>9.5663911842571098E-4</v>
      </c>
      <c r="Q3" s="7">
        <v>1.7106890543973508E-3</v>
      </c>
      <c r="R3" s="7">
        <v>7.5069491414041809E-4</v>
      </c>
      <c r="S3" s="7">
        <v>2.3600057710029226E-3</v>
      </c>
      <c r="T3" s="7">
        <v>1.9746867900729162E-3</v>
      </c>
      <c r="U3" s="7">
        <v>6.9123639118671162E-4</v>
      </c>
      <c r="V3" s="7">
        <v>1.8120435642693046E-3</v>
      </c>
      <c r="W3" s="7">
        <v>1.1540966804552302E-3</v>
      </c>
      <c r="X3" s="7">
        <v>1.9433031419644308E-3</v>
      </c>
      <c r="Y3" s="7">
        <v>1.7364539456058284E-3</v>
      </c>
      <c r="Z3" s="7">
        <v>3.1166687133878487E-3</v>
      </c>
      <c r="AA3" s="7">
        <v>1.2086178531878398E-3</v>
      </c>
      <c r="AB3" s="7">
        <v>1.45606915048578E-3</v>
      </c>
      <c r="AC3" s="7">
        <v>1.943169167651723E-3</v>
      </c>
      <c r="AD3" s="7">
        <v>1.1921210953154448E-3</v>
      </c>
      <c r="AF3" s="17">
        <v>-9.7228148501555828E-4</v>
      </c>
    </row>
    <row r="4" spans="1:32" x14ac:dyDescent="0.3">
      <c r="A4" s="7">
        <v>2.5323916416905489E-3</v>
      </c>
      <c r="B4" s="7">
        <v>1.4495099160265814E-2</v>
      </c>
      <c r="C4" s="7">
        <v>2.5412267089091191E-3</v>
      </c>
      <c r="D4" s="7">
        <v>3.4785782208721131E-3</v>
      </c>
      <c r="E4" s="7">
        <v>4.9539966858376935E-3</v>
      </c>
      <c r="F4" s="7">
        <v>4.8339860711046788E-3</v>
      </c>
      <c r="G4" s="7">
        <v>4.1481214600672927E-3</v>
      </c>
      <c r="H4" s="7">
        <v>7.9900484545273754E-3</v>
      </c>
      <c r="I4" s="7">
        <v>5.957794365116992E-3</v>
      </c>
      <c r="J4" s="7">
        <v>7.4927508485761827E-3</v>
      </c>
      <c r="K4" s="7">
        <v>2.9449018628378436E-4</v>
      </c>
      <c r="L4" s="7">
        <v>1.7102312408978004E-3</v>
      </c>
      <c r="M4" s="7">
        <v>1.3529862918449143E-2</v>
      </c>
      <c r="N4" s="7">
        <v>2.968625202949719E-3</v>
      </c>
      <c r="O4" s="7">
        <v>7.667260773177466E-3</v>
      </c>
      <c r="P4" s="7">
        <v>9.1498043128570574E-4</v>
      </c>
      <c r="Q4" s="7">
        <v>3.6805479521413694E-3</v>
      </c>
      <c r="R4" s="7">
        <v>2.4866604870511341E-3</v>
      </c>
      <c r="S4" s="7">
        <v>3.5356993719671717E-3</v>
      </c>
      <c r="T4" s="7">
        <v>5.8567620889917087E-3</v>
      </c>
      <c r="U4" s="7">
        <v>3.6586966277002073E-4</v>
      </c>
      <c r="V4" s="7">
        <v>2.4795458881906396E-3</v>
      </c>
      <c r="W4" s="7">
        <v>4.079671421913348E-3</v>
      </c>
      <c r="X4" s="7">
        <v>5.7026644189779093E-3</v>
      </c>
      <c r="Y4" s="7">
        <v>6.3819744071839535E-3</v>
      </c>
      <c r="Z4" s="7">
        <v>9.1378892663955182E-3</v>
      </c>
      <c r="AA4" s="7">
        <v>1.8429309718483217E-3</v>
      </c>
      <c r="AB4" s="7">
        <v>3.8822071295009919E-3</v>
      </c>
      <c r="AC4" s="7">
        <v>9.8298896391867934E-3</v>
      </c>
      <c r="AD4" s="7">
        <v>4.0714430304877522E-3</v>
      </c>
      <c r="AF4" s="17">
        <v>2.50010100186575E-3</v>
      </c>
    </row>
    <row r="5" spans="1:32" x14ac:dyDescent="0.3">
      <c r="A5" s="7">
        <v>1.5773862975043754E-3</v>
      </c>
      <c r="B5" s="7">
        <v>2.5412267089091191E-3</v>
      </c>
      <c r="C5" s="7">
        <v>2.5821472367638841E-2</v>
      </c>
      <c r="D5" s="7">
        <v>2.3347498285912404E-3</v>
      </c>
      <c r="E5" s="7">
        <v>1.9543325833054673E-3</v>
      </c>
      <c r="F5" s="7">
        <v>4.128573675366105E-3</v>
      </c>
      <c r="G5" s="7">
        <v>2.5645080185139335E-3</v>
      </c>
      <c r="H5" s="7">
        <v>3.5517028248358744E-3</v>
      </c>
      <c r="I5" s="7">
        <v>3.2619742653772999E-3</v>
      </c>
      <c r="J5" s="7">
        <v>2.3617947301490002E-3</v>
      </c>
      <c r="K5" s="7">
        <v>6.5466756212319331E-4</v>
      </c>
      <c r="L5" s="7">
        <v>-1.3163534939733437E-4</v>
      </c>
      <c r="M5" s="7">
        <v>2.1824655279877761E-3</v>
      </c>
      <c r="N5" s="7">
        <v>4.4006514598318325E-3</v>
      </c>
      <c r="O5" s="7">
        <v>3.8993783520661508E-3</v>
      </c>
      <c r="P5" s="7">
        <v>1.3718704045986197E-3</v>
      </c>
      <c r="Q5" s="7">
        <v>2.248716332040547E-3</v>
      </c>
      <c r="R5" s="7">
        <v>3.226059817276091E-4</v>
      </c>
      <c r="S5" s="7">
        <v>3.5574189684292861E-3</v>
      </c>
      <c r="T5" s="7">
        <v>3.5197411452386287E-3</v>
      </c>
      <c r="U5" s="7">
        <v>9.1615708699997788E-4</v>
      </c>
      <c r="V5" s="7">
        <v>2.383582057335847E-3</v>
      </c>
      <c r="W5" s="7">
        <v>2.1702026703433659E-3</v>
      </c>
      <c r="X5" s="7">
        <v>3.4629976578599213E-3</v>
      </c>
      <c r="Y5" s="7">
        <v>2.1866615723753527E-3</v>
      </c>
      <c r="Z5" s="7">
        <v>4.9178305202009481E-3</v>
      </c>
      <c r="AA5" s="7">
        <v>9.6081333470328151E-4</v>
      </c>
      <c r="AB5" s="7">
        <v>1.2000365374160071E-3</v>
      </c>
      <c r="AC5" s="7">
        <v>6.5757909781266445E-3</v>
      </c>
      <c r="AD5" s="7">
        <v>1.6728491358270921E-3</v>
      </c>
      <c r="AF5" s="17">
        <v>4.0743109326464945E-2</v>
      </c>
    </row>
    <row r="6" spans="1:32" x14ac:dyDescent="0.3">
      <c r="A6" s="7">
        <v>1.5190926538584532E-3</v>
      </c>
      <c r="B6" s="7">
        <v>3.4785782208721131E-3</v>
      </c>
      <c r="C6" s="7">
        <v>2.3347498285912404E-3</v>
      </c>
      <c r="D6" s="7">
        <v>5.4198518975310589E-3</v>
      </c>
      <c r="E6" s="7">
        <v>2.7913636742597538E-3</v>
      </c>
      <c r="F6" s="7">
        <v>3.1368533229061738E-3</v>
      </c>
      <c r="G6" s="7">
        <v>2.2860766675251438E-3</v>
      </c>
      <c r="H6" s="7">
        <v>3.6829759387857993E-3</v>
      </c>
      <c r="I6" s="7">
        <v>2.9171350824526709E-3</v>
      </c>
      <c r="J6" s="7">
        <v>3.0311710521386597E-3</v>
      </c>
      <c r="K6" s="7">
        <v>1.030969627483339E-3</v>
      </c>
      <c r="L6" s="7">
        <v>2.0944107622822262E-3</v>
      </c>
      <c r="M6" s="7">
        <v>3.5150389591823211E-3</v>
      </c>
      <c r="N6" s="7">
        <v>1.5691751825304421E-3</v>
      </c>
      <c r="O6" s="7">
        <v>5.2833279950362157E-3</v>
      </c>
      <c r="P6" s="7">
        <v>1.3673909837570728E-3</v>
      </c>
      <c r="Q6" s="7">
        <v>1.6598474114162232E-3</v>
      </c>
      <c r="R6" s="7">
        <v>2.1514188194490576E-3</v>
      </c>
      <c r="S6" s="7">
        <v>2.3283317584243965E-3</v>
      </c>
      <c r="T6" s="7">
        <v>2.8244740356994169E-3</v>
      </c>
      <c r="U6" s="7">
        <v>5.7732531805224823E-4</v>
      </c>
      <c r="V6" s="7">
        <v>3.1450387477968919E-3</v>
      </c>
      <c r="W6" s="7">
        <v>2.0817894334128162E-3</v>
      </c>
      <c r="X6" s="7">
        <v>3.0891143466083063E-3</v>
      </c>
      <c r="Y6" s="7">
        <v>2.8444248987025507E-3</v>
      </c>
      <c r="Z6" s="7">
        <v>4.8142831983273814E-3</v>
      </c>
      <c r="AA6" s="7">
        <v>1.7458317327857494E-3</v>
      </c>
      <c r="AB6" s="7">
        <v>2.4646757360674873E-3</v>
      </c>
      <c r="AC6" s="7">
        <v>3.9696606660632617E-3</v>
      </c>
      <c r="AD6" s="7">
        <v>2.2365143836244402E-3</v>
      </c>
      <c r="AF6" s="17">
        <v>7.9783098437083422E-3</v>
      </c>
    </row>
    <row r="7" spans="1:32" x14ac:dyDescent="0.3">
      <c r="A7" s="7">
        <v>1.5182306882013693E-3</v>
      </c>
      <c r="B7" s="7">
        <v>4.9539966858376935E-3</v>
      </c>
      <c r="C7" s="7">
        <v>1.9543325833054673E-3</v>
      </c>
      <c r="D7" s="7">
        <v>2.7913636742597538E-3</v>
      </c>
      <c r="E7" s="7">
        <v>4.8813158737581117E-3</v>
      </c>
      <c r="F7" s="7">
        <v>2.9339804014662202E-3</v>
      </c>
      <c r="G7" s="7">
        <v>2.9640783234690673E-3</v>
      </c>
      <c r="H7" s="7">
        <v>4.7428780224355593E-3</v>
      </c>
      <c r="I7" s="7">
        <v>3.6403168252736999E-3</v>
      </c>
      <c r="J7" s="7">
        <v>4.5033499921794673E-3</v>
      </c>
      <c r="K7" s="7">
        <v>-5.5070214372127731E-4</v>
      </c>
      <c r="L7" s="7">
        <v>1.8841198392042045E-3</v>
      </c>
      <c r="M7" s="7">
        <v>5.1135368155679692E-3</v>
      </c>
      <c r="N7" s="7">
        <v>2.4559210556413104E-3</v>
      </c>
      <c r="O7" s="7">
        <v>4.5334207755064072E-3</v>
      </c>
      <c r="P7" s="7">
        <v>7.4079640794721578E-4</v>
      </c>
      <c r="Q7" s="7">
        <v>1.6846551410446835E-3</v>
      </c>
      <c r="R7" s="7">
        <v>1.9882333282531233E-3</v>
      </c>
      <c r="S7" s="7">
        <v>1.7814822223195244E-3</v>
      </c>
      <c r="T7" s="7">
        <v>4.3933039776248017E-3</v>
      </c>
      <c r="U7" s="7">
        <v>6.699546072629581E-5</v>
      </c>
      <c r="V7" s="7">
        <v>2.1479629930577066E-3</v>
      </c>
      <c r="W7" s="7">
        <v>1.5724590754507776E-3</v>
      </c>
      <c r="X7" s="7">
        <v>4.152081607538001E-3</v>
      </c>
      <c r="Y7" s="7">
        <v>4.3127698574231292E-3</v>
      </c>
      <c r="Z7" s="7">
        <v>6.0680443552748155E-3</v>
      </c>
      <c r="AA7" s="7">
        <v>1.4847253270266073E-3</v>
      </c>
      <c r="AB7" s="7">
        <v>3.7248298520269601E-3</v>
      </c>
      <c r="AC7" s="7">
        <v>6.0345769317669091E-3</v>
      </c>
      <c r="AD7" s="7">
        <v>3.843056397417386E-3</v>
      </c>
      <c r="AF7" s="17">
        <v>5.3214208137620442E-3</v>
      </c>
    </row>
    <row r="8" spans="1:32" x14ac:dyDescent="0.3">
      <c r="A8" s="7">
        <v>2.0586571470224318E-3</v>
      </c>
      <c r="B8" s="7">
        <v>4.8339860711046788E-3</v>
      </c>
      <c r="C8" s="7">
        <v>4.128573675366105E-3</v>
      </c>
      <c r="D8" s="7">
        <v>3.1368533229061738E-3</v>
      </c>
      <c r="E8" s="7">
        <v>2.9339804014662202E-3</v>
      </c>
      <c r="F8" s="7">
        <v>4.9621197449548245E-3</v>
      </c>
      <c r="G8" s="7">
        <v>2.9044808318325079E-3</v>
      </c>
      <c r="H8" s="7">
        <v>4.8105567396949959E-3</v>
      </c>
      <c r="I8" s="7">
        <v>4.2057114478422E-3</v>
      </c>
      <c r="J8" s="7">
        <v>3.9577073238039944E-3</v>
      </c>
      <c r="K8" s="7">
        <v>7.1523791449765563E-4</v>
      </c>
      <c r="L8" s="7">
        <v>2.1002621178058387E-3</v>
      </c>
      <c r="M8" s="7">
        <v>4.7397527859387879E-3</v>
      </c>
      <c r="N8" s="7">
        <v>2.1061936129378703E-3</v>
      </c>
      <c r="O8" s="7">
        <v>5.4748744124329118E-3</v>
      </c>
      <c r="P8" s="7">
        <v>1.256161736378448E-3</v>
      </c>
      <c r="Q8" s="7">
        <v>2.0160278874046525E-3</v>
      </c>
      <c r="R8" s="7">
        <v>1.4585693144848818E-3</v>
      </c>
      <c r="S8" s="7">
        <v>2.1326924895178215E-3</v>
      </c>
      <c r="T8" s="7">
        <v>3.7813528018831965E-3</v>
      </c>
      <c r="U8" s="7">
        <v>9.4322029082712718E-4</v>
      </c>
      <c r="V8" s="7">
        <v>2.5906351181880869E-3</v>
      </c>
      <c r="W8" s="7">
        <v>1.7420497678581025E-3</v>
      </c>
      <c r="X8" s="7">
        <v>3.7514856395148804E-3</v>
      </c>
      <c r="Y8" s="7">
        <v>4.1789886878068555E-3</v>
      </c>
      <c r="Z8" s="7">
        <v>6.0890993093112569E-3</v>
      </c>
      <c r="AA8" s="7">
        <v>1.4256780993732307E-3</v>
      </c>
      <c r="AB8" s="7">
        <v>2.6759469374499113E-3</v>
      </c>
      <c r="AC8" s="7">
        <v>5.6207532036572768E-3</v>
      </c>
      <c r="AD8" s="7">
        <v>2.3313656336295106E-3</v>
      </c>
      <c r="AF8" s="17">
        <v>6.9288135410347593E-3</v>
      </c>
    </row>
    <row r="9" spans="1:32" x14ac:dyDescent="0.3">
      <c r="A9" s="7">
        <v>1.9196840423003074E-3</v>
      </c>
      <c r="B9" s="7">
        <v>4.1481214600672927E-3</v>
      </c>
      <c r="C9" s="7">
        <v>2.5645080185139335E-3</v>
      </c>
      <c r="D9" s="7">
        <v>2.2860766675251438E-3</v>
      </c>
      <c r="E9" s="7">
        <v>2.9640783234690673E-3</v>
      </c>
      <c r="F9" s="7">
        <v>2.9044808318325079E-3</v>
      </c>
      <c r="G9" s="7">
        <v>4.7671039173725407E-3</v>
      </c>
      <c r="H9" s="7">
        <v>4.6893406422343882E-3</v>
      </c>
      <c r="I9" s="7">
        <v>3.3938969228338531E-3</v>
      </c>
      <c r="J9" s="7">
        <v>4.2676554205163322E-3</v>
      </c>
      <c r="K9" s="7">
        <v>6.5378528522928511E-4</v>
      </c>
      <c r="L9" s="7">
        <v>1.5207326956925894E-3</v>
      </c>
      <c r="M9" s="7">
        <v>4.3116797684265851E-3</v>
      </c>
      <c r="N9" s="7">
        <v>2.2649638687050337E-3</v>
      </c>
      <c r="O9" s="7">
        <v>5.2442934546365373E-3</v>
      </c>
      <c r="P9" s="7">
        <v>1.3282523437938068E-3</v>
      </c>
      <c r="Q9" s="7">
        <v>1.8787506150263855E-3</v>
      </c>
      <c r="R9" s="7">
        <v>1.2838844712973539E-3</v>
      </c>
      <c r="S9" s="7">
        <v>1.8889522172047873E-3</v>
      </c>
      <c r="T9" s="7">
        <v>3.0641686413297848E-3</v>
      </c>
      <c r="U9" s="7">
        <v>6.5361274837922798E-4</v>
      </c>
      <c r="V9" s="7">
        <v>2.4117110190098648E-3</v>
      </c>
      <c r="W9" s="7">
        <v>1.5025559409206277E-3</v>
      </c>
      <c r="X9" s="7">
        <v>3.6074959413396859E-3</v>
      </c>
      <c r="Y9" s="7">
        <v>3.2591024138710267E-3</v>
      </c>
      <c r="Z9" s="7">
        <v>6.1668034523249451E-3</v>
      </c>
      <c r="AA9" s="7">
        <v>1.5463198460653528E-3</v>
      </c>
      <c r="AB9" s="7">
        <v>2.1373962145003439E-3</v>
      </c>
      <c r="AC9" s="7">
        <v>4.1293042885421497E-3</v>
      </c>
      <c r="AD9" s="7">
        <v>2.5722249157352712E-3</v>
      </c>
      <c r="AF9" s="17">
        <v>6.5518805534664241E-3</v>
      </c>
    </row>
    <row r="10" spans="1:32" x14ac:dyDescent="0.3">
      <c r="A10" s="7">
        <v>2.4210001271715259E-3</v>
      </c>
      <c r="B10" s="7">
        <v>7.9900484545273754E-3</v>
      </c>
      <c r="C10" s="7">
        <v>3.5517028248358744E-3</v>
      </c>
      <c r="D10" s="7">
        <v>3.6829759387857993E-3</v>
      </c>
      <c r="E10" s="7">
        <v>4.7428780224355593E-3</v>
      </c>
      <c r="F10" s="7">
        <v>4.8105567396949959E-3</v>
      </c>
      <c r="G10" s="7">
        <v>4.6893406422343882E-3</v>
      </c>
      <c r="H10" s="7">
        <v>9.0200465000047202E-3</v>
      </c>
      <c r="I10" s="7">
        <v>6.7286923323565144E-3</v>
      </c>
      <c r="J10" s="7">
        <v>7.2913462166003407E-3</v>
      </c>
      <c r="K10" s="7">
        <v>9.9692778201042722E-4</v>
      </c>
      <c r="L10" s="7">
        <v>2.504218685195311E-3</v>
      </c>
      <c r="M10" s="7">
        <v>8.247573489224622E-3</v>
      </c>
      <c r="N10" s="7">
        <v>3.3432447489845927E-3</v>
      </c>
      <c r="O10" s="7">
        <v>8.4181753990094765E-3</v>
      </c>
      <c r="P10" s="7">
        <v>1.2334651992766438E-3</v>
      </c>
      <c r="Q10" s="7">
        <v>2.9454354947826681E-3</v>
      </c>
      <c r="R10" s="7">
        <v>2.1007910609101357E-3</v>
      </c>
      <c r="S10" s="7">
        <v>2.3514714687813362E-3</v>
      </c>
      <c r="T10" s="7">
        <v>5.4325618721016728E-3</v>
      </c>
      <c r="U10" s="7">
        <v>4.8357813194424256E-4</v>
      </c>
      <c r="V10" s="7">
        <v>3.1293529022805547E-3</v>
      </c>
      <c r="W10" s="7">
        <v>2.2664922543573214E-3</v>
      </c>
      <c r="X10" s="7">
        <v>5.9218241703404258E-3</v>
      </c>
      <c r="Y10" s="7">
        <v>7.3302384046999413E-3</v>
      </c>
      <c r="Z10" s="7">
        <v>9.5449616457973993E-3</v>
      </c>
      <c r="AA10" s="7">
        <v>2.4419870474809884E-3</v>
      </c>
      <c r="AB10" s="7">
        <v>4.0922765559085819E-3</v>
      </c>
      <c r="AC10" s="7">
        <v>8.1996098382163471E-3</v>
      </c>
      <c r="AD10" s="7">
        <v>3.9883344027427329E-3</v>
      </c>
      <c r="AF10" s="17">
        <v>-7.7221345639838133E-4</v>
      </c>
    </row>
    <row r="11" spans="1:32" x14ac:dyDescent="0.3">
      <c r="A11" s="7">
        <v>2.4293557087830221E-3</v>
      </c>
      <c r="B11" s="7">
        <v>5.957794365116992E-3</v>
      </c>
      <c r="C11" s="7">
        <v>3.2619742653772999E-3</v>
      </c>
      <c r="D11" s="7">
        <v>2.9171350824526709E-3</v>
      </c>
      <c r="E11" s="7">
        <v>3.6403168252736999E-3</v>
      </c>
      <c r="F11" s="7">
        <v>4.2057114478422E-3</v>
      </c>
      <c r="G11" s="7">
        <v>3.3938969228338531E-3</v>
      </c>
      <c r="H11" s="7">
        <v>6.7286923323565144E-3</v>
      </c>
      <c r="I11" s="7">
        <v>8.9095290724769821E-3</v>
      </c>
      <c r="J11" s="7">
        <v>5.7856621305237754E-3</v>
      </c>
      <c r="K11" s="7">
        <v>2.9910360835192363E-4</v>
      </c>
      <c r="L11" s="7">
        <v>2.432007903357054E-3</v>
      </c>
      <c r="M11" s="7">
        <v>6.2217190601028191E-3</v>
      </c>
      <c r="N11" s="7">
        <v>2.796609394293418E-3</v>
      </c>
      <c r="O11" s="7">
        <v>6.5066042804420264E-3</v>
      </c>
      <c r="P11" s="7">
        <v>9.1959209453043838E-4</v>
      </c>
      <c r="Q11" s="7">
        <v>2.6140605673320503E-3</v>
      </c>
      <c r="R11" s="7">
        <v>1.781831350892405E-3</v>
      </c>
      <c r="S11" s="7">
        <v>3.0430986503302989E-3</v>
      </c>
      <c r="T11" s="7">
        <v>5.2861214984274724E-3</v>
      </c>
      <c r="U11" s="7">
        <v>1.0389046466522409E-3</v>
      </c>
      <c r="V11" s="7">
        <v>3.0980845852455665E-3</v>
      </c>
      <c r="W11" s="7">
        <v>1.357927401447869E-3</v>
      </c>
      <c r="X11" s="7">
        <v>5.0814341261584796E-3</v>
      </c>
      <c r="Y11" s="7">
        <v>6.9452665682849524E-3</v>
      </c>
      <c r="Z11" s="7">
        <v>1.0101437266593322E-2</v>
      </c>
      <c r="AA11" s="7">
        <v>2.4204257927906091E-3</v>
      </c>
      <c r="AB11" s="7">
        <v>3.2471699592072486E-3</v>
      </c>
      <c r="AC11" s="7">
        <v>7.2734508141150409E-3</v>
      </c>
      <c r="AD11" s="7">
        <v>2.8729765487115369E-3</v>
      </c>
      <c r="AF11" s="17">
        <v>1.7396897908116257E-2</v>
      </c>
    </row>
    <row r="12" spans="1:32" x14ac:dyDescent="0.3">
      <c r="A12" s="7">
        <v>2.2922595760485848E-3</v>
      </c>
      <c r="B12" s="7">
        <v>7.4927508485761827E-3</v>
      </c>
      <c r="C12" s="7">
        <v>2.3617947301490002E-3</v>
      </c>
      <c r="D12" s="7">
        <v>3.0311710521386597E-3</v>
      </c>
      <c r="E12" s="7">
        <v>4.5033499921794673E-3</v>
      </c>
      <c r="F12" s="7">
        <v>3.9577073238039944E-3</v>
      </c>
      <c r="G12" s="7">
        <v>4.2676554205163322E-3</v>
      </c>
      <c r="H12" s="7">
        <v>7.2913462166003407E-3</v>
      </c>
      <c r="I12" s="7">
        <v>5.7856621305237754E-3</v>
      </c>
      <c r="J12" s="7">
        <v>7.5997002586492262E-3</v>
      </c>
      <c r="K12" s="7">
        <v>-7.9846779931642999E-6</v>
      </c>
      <c r="L12" s="7">
        <v>2.0788441101623305E-3</v>
      </c>
      <c r="M12" s="7">
        <v>7.3985019029447017E-3</v>
      </c>
      <c r="N12" s="7">
        <v>2.9327041478962126E-3</v>
      </c>
      <c r="O12" s="7">
        <v>6.8673304735182468E-3</v>
      </c>
      <c r="P12" s="7">
        <v>8.5923951953882052E-4</v>
      </c>
      <c r="Q12" s="7">
        <v>2.5760837784874527E-3</v>
      </c>
      <c r="R12" s="7">
        <v>1.7594147884001912E-3</v>
      </c>
      <c r="S12" s="7">
        <v>1.7408268119949489E-3</v>
      </c>
      <c r="T12" s="7">
        <v>4.4139992540125827E-3</v>
      </c>
      <c r="U12" s="7">
        <v>4.4372076386075079E-4</v>
      </c>
      <c r="V12" s="7">
        <v>2.607118829770062E-3</v>
      </c>
      <c r="W12" s="7">
        <v>1.8723169695680584E-3</v>
      </c>
      <c r="X12" s="7">
        <v>5.2553467810551096E-3</v>
      </c>
      <c r="Y12" s="7">
        <v>5.97724779836216E-3</v>
      </c>
      <c r="Z12" s="7">
        <v>7.47245834343739E-3</v>
      </c>
      <c r="AA12" s="7">
        <v>1.7451344782734191E-3</v>
      </c>
      <c r="AB12" s="7">
        <v>3.5296212393389585E-3</v>
      </c>
      <c r="AC12" s="7">
        <v>6.6485223847282809E-3</v>
      </c>
      <c r="AD12" s="7">
        <v>3.5670421177579005E-3</v>
      </c>
      <c r="AF12" s="17">
        <v>-2.1073168997166715E-3</v>
      </c>
    </row>
    <row r="13" spans="1:32" x14ac:dyDescent="0.3">
      <c r="A13" s="7">
        <v>1.0913961810643039E-4</v>
      </c>
      <c r="B13" s="7">
        <v>2.9449018628378436E-4</v>
      </c>
      <c r="C13" s="7">
        <v>6.5466756212319331E-4</v>
      </c>
      <c r="D13" s="7">
        <v>1.030969627483339E-3</v>
      </c>
      <c r="E13" s="7">
        <v>-5.5070214372127731E-4</v>
      </c>
      <c r="F13" s="7">
        <v>7.1523791449765563E-4</v>
      </c>
      <c r="G13" s="7">
        <v>6.5378528522928511E-4</v>
      </c>
      <c r="H13" s="7">
        <v>9.9692778201042722E-4</v>
      </c>
      <c r="I13" s="7">
        <v>2.9910360835192363E-4</v>
      </c>
      <c r="J13" s="7">
        <v>-7.9846779931642999E-6</v>
      </c>
      <c r="K13" s="7">
        <v>6.8071706223236331E-3</v>
      </c>
      <c r="L13" s="7">
        <v>5.9920612659697945E-4</v>
      </c>
      <c r="M13" s="7">
        <v>1.3606919572551661E-4</v>
      </c>
      <c r="N13" s="7">
        <v>9.1181919118716107E-4</v>
      </c>
      <c r="O13" s="7">
        <v>2.4673860554914199E-3</v>
      </c>
      <c r="P13" s="7">
        <v>4.6821171399265575E-4</v>
      </c>
      <c r="Q13" s="7">
        <v>1.0946850438657988E-3</v>
      </c>
      <c r="R13" s="7">
        <v>3.9425266804311415E-4</v>
      </c>
      <c r="S13" s="7">
        <v>1.4525177412502367E-3</v>
      </c>
      <c r="T13" s="7">
        <v>2.1147813110168354E-4</v>
      </c>
      <c r="U13" s="7">
        <v>6.3345055165224323E-4</v>
      </c>
      <c r="V13" s="7">
        <v>1.5641899231816977E-3</v>
      </c>
      <c r="W13" s="7">
        <v>7.9161824507771193E-4</v>
      </c>
      <c r="X13" s="7">
        <v>-1.6543932340645803E-4</v>
      </c>
      <c r="Y13" s="7">
        <v>5.3610085630297413E-4</v>
      </c>
      <c r="Z13" s="7">
        <v>7.32360345164446E-4</v>
      </c>
      <c r="AA13" s="7">
        <v>5.3308099379059241E-5</v>
      </c>
      <c r="AB13" s="7">
        <v>-1.9414786655893706E-4</v>
      </c>
      <c r="AC13" s="7">
        <v>1.364033267883327E-3</v>
      </c>
      <c r="AD13" s="7">
        <v>-1.7422386638884697E-4</v>
      </c>
      <c r="AF13" s="17">
        <v>3.4012698606636367E-2</v>
      </c>
    </row>
    <row r="14" spans="1:32" x14ac:dyDescent="0.3">
      <c r="A14" s="7">
        <v>1.4249379956879835E-3</v>
      </c>
      <c r="B14" s="7">
        <v>1.7102312408978004E-3</v>
      </c>
      <c r="C14" s="7">
        <v>-1.3163534939733437E-4</v>
      </c>
      <c r="D14" s="7">
        <v>2.0944107622822262E-3</v>
      </c>
      <c r="E14" s="7">
        <v>1.8841198392042045E-3</v>
      </c>
      <c r="F14" s="7">
        <v>2.1002621178058387E-3</v>
      </c>
      <c r="G14" s="7">
        <v>1.5207326956925894E-3</v>
      </c>
      <c r="H14" s="7">
        <v>2.504218685195311E-3</v>
      </c>
      <c r="I14" s="7">
        <v>2.432007903357054E-3</v>
      </c>
      <c r="J14" s="7">
        <v>2.0788441101623305E-3</v>
      </c>
      <c r="K14" s="7">
        <v>5.9920612659697945E-4</v>
      </c>
      <c r="L14" s="7">
        <v>5.5403235477444347E-3</v>
      </c>
      <c r="M14" s="7">
        <v>1.984371262962535E-3</v>
      </c>
      <c r="N14" s="7">
        <v>1.4381192708695114E-3</v>
      </c>
      <c r="O14" s="7">
        <v>3.1741946104171508E-3</v>
      </c>
      <c r="P14" s="7">
        <v>1.5428929525017777E-3</v>
      </c>
      <c r="Q14" s="7">
        <v>1.1817881621429547E-3</v>
      </c>
      <c r="R14" s="7">
        <v>1.1581105256286452E-3</v>
      </c>
      <c r="S14" s="7">
        <v>2.5763689999021453E-3</v>
      </c>
      <c r="T14" s="7">
        <v>3.4229565698009798E-3</v>
      </c>
      <c r="U14" s="7">
        <v>1.1693402275278061E-3</v>
      </c>
      <c r="V14" s="7">
        <v>1.4423513431174255E-3</v>
      </c>
      <c r="W14" s="7">
        <v>9.2414605387061872E-4</v>
      </c>
      <c r="X14" s="7">
        <v>2.4335330278885841E-3</v>
      </c>
      <c r="Y14" s="7">
        <v>3.1748469422523099E-3</v>
      </c>
      <c r="Z14" s="7">
        <v>5.6740114408066469E-3</v>
      </c>
      <c r="AA14" s="7">
        <v>2.5594237623329276E-3</v>
      </c>
      <c r="AB14" s="7">
        <v>1.9187205928992974E-3</v>
      </c>
      <c r="AC14" s="7">
        <v>3.1953062542965011E-3</v>
      </c>
      <c r="AD14" s="7">
        <v>2.0298015012944434E-3</v>
      </c>
      <c r="AF14" s="17">
        <v>1.9868434168737327E-2</v>
      </c>
    </row>
    <row r="15" spans="1:32" x14ac:dyDescent="0.3">
      <c r="A15" s="7">
        <v>2.6041557088850851E-3</v>
      </c>
      <c r="B15" s="7">
        <v>1.3529862918449143E-2</v>
      </c>
      <c r="C15" s="7">
        <v>2.1824655279877761E-3</v>
      </c>
      <c r="D15" s="7">
        <v>3.5150389591823211E-3</v>
      </c>
      <c r="E15" s="7">
        <v>5.1135368155679692E-3</v>
      </c>
      <c r="F15" s="7">
        <v>4.7397527859387879E-3</v>
      </c>
      <c r="G15" s="7">
        <v>4.3116797684265851E-3</v>
      </c>
      <c r="H15" s="7">
        <v>8.247573489224622E-3</v>
      </c>
      <c r="I15" s="7">
        <v>6.2217190601028191E-3</v>
      </c>
      <c r="J15" s="7">
        <v>7.3985019029447017E-3</v>
      </c>
      <c r="K15" s="7">
        <v>1.3606919572551661E-4</v>
      </c>
      <c r="L15" s="7">
        <v>1.984371262962535E-3</v>
      </c>
      <c r="M15" s="7">
        <v>1.3239817835991196E-2</v>
      </c>
      <c r="N15" s="7">
        <v>2.8663144892335569E-3</v>
      </c>
      <c r="O15" s="7">
        <v>7.4562876275936574E-3</v>
      </c>
      <c r="P15" s="7">
        <v>1.1942598397626527E-3</v>
      </c>
      <c r="Q15" s="7">
        <v>3.3733384939659233E-3</v>
      </c>
      <c r="R15" s="7">
        <v>2.5994978103856263E-3</v>
      </c>
      <c r="S15" s="7">
        <v>3.8336732478234455E-3</v>
      </c>
      <c r="T15" s="7">
        <v>6.0660657247355032E-3</v>
      </c>
      <c r="U15" s="7">
        <v>4.2265971299996845E-4</v>
      </c>
      <c r="V15" s="7">
        <v>2.7390410031274256E-3</v>
      </c>
      <c r="W15" s="7">
        <v>3.8898734855652571E-3</v>
      </c>
      <c r="X15" s="7">
        <v>5.8259637419216534E-3</v>
      </c>
      <c r="Y15" s="7">
        <v>6.5849640930353021E-3</v>
      </c>
      <c r="Z15" s="7">
        <v>9.916240560862731E-3</v>
      </c>
      <c r="AA15" s="7">
        <v>1.9567430279687588E-3</v>
      </c>
      <c r="AB15" s="7">
        <v>4.0589330120773051E-3</v>
      </c>
      <c r="AC15" s="7">
        <v>9.7287475102999978E-3</v>
      </c>
      <c r="AD15" s="7">
        <v>4.417252691005142E-3</v>
      </c>
      <c r="AF15" s="17">
        <v>2.6243704516471329E-3</v>
      </c>
    </row>
    <row r="16" spans="1:32" x14ac:dyDescent="0.3">
      <c r="A16" s="7">
        <v>3.5469406216989972E-4</v>
      </c>
      <c r="B16" s="7">
        <v>2.968625202949719E-3</v>
      </c>
      <c r="C16" s="7">
        <v>4.4006514598318325E-3</v>
      </c>
      <c r="D16" s="7">
        <v>1.5691751825304421E-3</v>
      </c>
      <c r="E16" s="7">
        <v>2.4559210556413104E-3</v>
      </c>
      <c r="F16" s="7">
        <v>2.1061936129378703E-3</v>
      </c>
      <c r="G16" s="7">
        <v>2.2649638687050337E-3</v>
      </c>
      <c r="H16" s="7">
        <v>3.3432447489845927E-3</v>
      </c>
      <c r="I16" s="7">
        <v>2.796609394293418E-3</v>
      </c>
      <c r="J16" s="7">
        <v>2.9327041478962126E-3</v>
      </c>
      <c r="K16" s="7">
        <v>9.1181919118716107E-4</v>
      </c>
      <c r="L16" s="7">
        <v>1.4381192708695114E-3</v>
      </c>
      <c r="M16" s="7">
        <v>2.8663144892335569E-3</v>
      </c>
      <c r="N16" s="7">
        <v>9.5449097792667924E-3</v>
      </c>
      <c r="O16" s="7">
        <v>3.5109375163572599E-3</v>
      </c>
      <c r="P16" s="7">
        <v>7.3399962082955513E-4</v>
      </c>
      <c r="Q16" s="7">
        <v>9.9650457611702306E-4</v>
      </c>
      <c r="R16" s="7">
        <v>1.6261601038383665E-3</v>
      </c>
      <c r="S16" s="7">
        <v>1.5213014232857204E-3</v>
      </c>
      <c r="T16" s="7">
        <v>2.6268597763200252E-3</v>
      </c>
      <c r="U16" s="7">
        <v>4.3080250768179589E-4</v>
      </c>
      <c r="V16" s="7">
        <v>2.4280857864644079E-3</v>
      </c>
      <c r="W16" s="7">
        <v>5.9247078761677941E-4</v>
      </c>
      <c r="X16" s="7">
        <v>2.6978319876377523E-3</v>
      </c>
      <c r="Y16" s="7">
        <v>3.8927745877437949E-3</v>
      </c>
      <c r="Z16" s="7">
        <v>5.6212203663312558E-3</v>
      </c>
      <c r="AA16" s="7">
        <v>4.0846774786940268E-5</v>
      </c>
      <c r="AB16" s="7">
        <v>1.8860732537281846E-3</v>
      </c>
      <c r="AC16" s="7">
        <v>3.4699044142861403E-3</v>
      </c>
      <c r="AD16" s="7">
        <v>1.9538420122091745E-3</v>
      </c>
      <c r="AF16" s="17">
        <v>3.4350656596959711E-2</v>
      </c>
    </row>
    <row r="17" spans="1:32" x14ac:dyDescent="0.3">
      <c r="A17" s="7">
        <v>2.6439514949065804E-3</v>
      </c>
      <c r="B17" s="7">
        <v>7.667260773177466E-3</v>
      </c>
      <c r="C17" s="7">
        <v>3.8993783520661508E-3</v>
      </c>
      <c r="D17" s="7">
        <v>5.2833279950362157E-3</v>
      </c>
      <c r="E17" s="7">
        <v>4.5334207755064072E-3</v>
      </c>
      <c r="F17" s="7">
        <v>5.4748744124329118E-3</v>
      </c>
      <c r="G17" s="7">
        <v>5.2442934546365373E-3</v>
      </c>
      <c r="H17" s="7">
        <v>8.4181753990094765E-3</v>
      </c>
      <c r="I17" s="7">
        <v>6.5066042804420264E-3</v>
      </c>
      <c r="J17" s="7">
        <v>6.8673304735182468E-3</v>
      </c>
      <c r="K17" s="7">
        <v>2.4673860554914199E-3</v>
      </c>
      <c r="L17" s="7">
        <v>3.1741946104171508E-3</v>
      </c>
      <c r="M17" s="7">
        <v>7.4562876275936574E-3</v>
      </c>
      <c r="N17" s="7">
        <v>3.5109375163572599E-3</v>
      </c>
      <c r="O17" s="7">
        <v>1.8165350207832196E-2</v>
      </c>
      <c r="P17" s="7">
        <v>9.5048819579589402E-4</v>
      </c>
      <c r="Q17" s="7">
        <v>4.0015712546615052E-3</v>
      </c>
      <c r="R17" s="7">
        <v>2.5378629332827272E-3</v>
      </c>
      <c r="S17" s="7">
        <v>3.5071111909898019E-3</v>
      </c>
      <c r="T17" s="7">
        <v>5.9337857576132877E-3</v>
      </c>
      <c r="U17" s="7">
        <v>5.1917901212123353E-4</v>
      </c>
      <c r="V17" s="7">
        <v>4.368598343219403E-3</v>
      </c>
      <c r="W17" s="7">
        <v>3.6029111530989553E-3</v>
      </c>
      <c r="X17" s="7">
        <v>6.4703172983487768E-3</v>
      </c>
      <c r="Y17" s="7">
        <v>7.308237407426782E-3</v>
      </c>
      <c r="Z17" s="7">
        <v>9.5505128961767324E-3</v>
      </c>
      <c r="AA17" s="7">
        <v>4.7585275602122831E-3</v>
      </c>
      <c r="AB17" s="7">
        <v>3.4943235420989206E-3</v>
      </c>
      <c r="AC17" s="7">
        <v>8.5937677856264515E-3</v>
      </c>
      <c r="AD17" s="7">
        <v>3.5533356355167008E-3</v>
      </c>
      <c r="AF17" s="17">
        <v>3.3368444812851158E-2</v>
      </c>
    </row>
    <row r="18" spans="1:32" x14ac:dyDescent="0.3">
      <c r="A18" s="7">
        <v>9.5663911842571098E-4</v>
      </c>
      <c r="B18" s="7">
        <v>9.1498043128570574E-4</v>
      </c>
      <c r="C18" s="7">
        <v>1.3718704045986197E-3</v>
      </c>
      <c r="D18" s="7">
        <v>1.3673909837570728E-3</v>
      </c>
      <c r="E18" s="7">
        <v>7.4079640794721578E-4</v>
      </c>
      <c r="F18" s="7">
        <v>1.256161736378448E-3</v>
      </c>
      <c r="G18" s="7">
        <v>1.3282523437938068E-3</v>
      </c>
      <c r="H18" s="7">
        <v>1.2334651992766438E-3</v>
      </c>
      <c r="I18" s="7">
        <v>9.1959209453043838E-4</v>
      </c>
      <c r="J18" s="7">
        <v>8.5923951953882052E-4</v>
      </c>
      <c r="K18" s="7">
        <v>4.6821171399265575E-4</v>
      </c>
      <c r="L18" s="7">
        <v>1.5428929525017777E-3</v>
      </c>
      <c r="M18" s="7">
        <v>1.1942598397626527E-3</v>
      </c>
      <c r="N18" s="7">
        <v>7.3399962082955513E-4</v>
      </c>
      <c r="O18" s="7">
        <v>9.5048819579589402E-4</v>
      </c>
      <c r="P18" s="7">
        <v>3.1663608432768893E-3</v>
      </c>
      <c r="Q18" s="7">
        <v>7.2349058388231752E-4</v>
      </c>
      <c r="R18" s="7">
        <v>1.3074073553437551E-3</v>
      </c>
      <c r="S18" s="7">
        <v>2.6767986992444356E-3</v>
      </c>
      <c r="T18" s="7">
        <v>2.1498946558537522E-3</v>
      </c>
      <c r="U18" s="7">
        <v>2.666461224297448E-3</v>
      </c>
      <c r="V18" s="7">
        <v>1.4583967615928691E-3</v>
      </c>
      <c r="W18" s="7">
        <v>1.5320571364968905E-3</v>
      </c>
      <c r="X18" s="7">
        <v>7.6458159160457801E-4</v>
      </c>
      <c r="Y18" s="7">
        <v>1.0907007444992472E-3</v>
      </c>
      <c r="Z18" s="7">
        <v>2.6409200706091563E-3</v>
      </c>
      <c r="AA18" s="7">
        <v>1.5092846948161671E-3</v>
      </c>
      <c r="AB18" s="7">
        <v>1.1267013387991495E-3</v>
      </c>
      <c r="AC18" s="7">
        <v>1.1688517431267371E-3</v>
      </c>
      <c r="AD18" s="7">
        <v>1.0670574801908868E-3</v>
      </c>
      <c r="AF18" s="17">
        <v>8.6763701650059127E-3</v>
      </c>
    </row>
    <row r="19" spans="1:32" x14ac:dyDescent="0.3">
      <c r="A19" s="7">
        <v>1.7106890543973508E-3</v>
      </c>
      <c r="B19" s="7">
        <v>3.6805479521413694E-3</v>
      </c>
      <c r="C19" s="7">
        <v>2.248716332040547E-3</v>
      </c>
      <c r="D19" s="7">
        <v>1.6598474114162232E-3</v>
      </c>
      <c r="E19" s="7">
        <v>1.6846551410446835E-3</v>
      </c>
      <c r="F19" s="7">
        <v>2.0160278874046525E-3</v>
      </c>
      <c r="G19" s="7">
        <v>1.8787506150263855E-3</v>
      </c>
      <c r="H19" s="7">
        <v>2.9454354947826681E-3</v>
      </c>
      <c r="I19" s="7">
        <v>2.6140605673320503E-3</v>
      </c>
      <c r="J19" s="7">
        <v>2.5760837784874527E-3</v>
      </c>
      <c r="K19" s="7">
        <v>1.0946850438657988E-3</v>
      </c>
      <c r="L19" s="7">
        <v>1.1817881621429547E-3</v>
      </c>
      <c r="M19" s="7">
        <v>3.3733384939659233E-3</v>
      </c>
      <c r="N19" s="7">
        <v>9.9650457611702306E-4</v>
      </c>
      <c r="O19" s="7">
        <v>4.0015712546615052E-3</v>
      </c>
      <c r="P19" s="7">
        <v>7.2349058388231752E-4</v>
      </c>
      <c r="Q19" s="7">
        <v>3.938368401358641E-3</v>
      </c>
      <c r="R19" s="7">
        <v>1.2550773916673995E-3</v>
      </c>
      <c r="S19" s="7">
        <v>2.136031324929415E-3</v>
      </c>
      <c r="T19" s="7">
        <v>2.9773394096317186E-3</v>
      </c>
      <c r="U19" s="7">
        <v>6.8672448205785316E-4</v>
      </c>
      <c r="V19" s="7">
        <v>1.9092317195090231E-3</v>
      </c>
      <c r="W19" s="7">
        <v>1.5394907132375291E-3</v>
      </c>
      <c r="X19" s="7">
        <v>2.246363345544798E-3</v>
      </c>
      <c r="Y19" s="7">
        <v>2.2076070109520009E-3</v>
      </c>
      <c r="Z19" s="7">
        <v>3.4135789223413088E-3</v>
      </c>
      <c r="AA19" s="7">
        <v>1.7709192772974896E-3</v>
      </c>
      <c r="AB19" s="7">
        <v>1.4424001746347621E-3</v>
      </c>
      <c r="AC19" s="7">
        <v>3.6490151467188409E-3</v>
      </c>
      <c r="AD19" s="7">
        <v>1.1019884486609215E-3</v>
      </c>
      <c r="AF19" s="17">
        <v>6.7143675275954376E-3</v>
      </c>
    </row>
    <row r="20" spans="1:32" x14ac:dyDescent="0.3">
      <c r="A20" s="7">
        <v>7.5069491414041809E-4</v>
      </c>
      <c r="B20" s="7">
        <v>2.4866604870511341E-3</v>
      </c>
      <c r="C20" s="7">
        <v>3.226059817276091E-4</v>
      </c>
      <c r="D20" s="7">
        <v>2.1514188194490576E-3</v>
      </c>
      <c r="E20" s="7">
        <v>1.9882333282531233E-3</v>
      </c>
      <c r="F20" s="7">
        <v>1.4585693144848818E-3</v>
      </c>
      <c r="G20" s="7">
        <v>1.2838844712973539E-3</v>
      </c>
      <c r="H20" s="7">
        <v>2.1007910609101357E-3</v>
      </c>
      <c r="I20" s="7">
        <v>1.781831350892405E-3</v>
      </c>
      <c r="J20" s="7">
        <v>1.7594147884001912E-3</v>
      </c>
      <c r="K20" s="7">
        <v>3.9425266804311415E-4</v>
      </c>
      <c r="L20" s="7">
        <v>1.1581105256286452E-3</v>
      </c>
      <c r="M20" s="7">
        <v>2.5994978103856263E-3</v>
      </c>
      <c r="N20" s="7">
        <v>1.6261601038383665E-3</v>
      </c>
      <c r="O20" s="7">
        <v>2.5378629332827272E-3</v>
      </c>
      <c r="P20" s="7">
        <v>1.3074073553437551E-3</v>
      </c>
      <c r="Q20" s="7">
        <v>1.2550773916673995E-3</v>
      </c>
      <c r="R20" s="7">
        <v>2.9217116030641221E-3</v>
      </c>
      <c r="S20" s="7">
        <v>1.5047797555727143E-3</v>
      </c>
      <c r="T20" s="7">
        <v>2.4581260570050696E-3</v>
      </c>
      <c r="U20" s="7">
        <v>8.2752979072917249E-4</v>
      </c>
      <c r="V20" s="7">
        <v>1.9202569084776344E-3</v>
      </c>
      <c r="W20" s="7">
        <v>1.2609179485031073E-3</v>
      </c>
      <c r="X20" s="7">
        <v>1.5964286575237427E-3</v>
      </c>
      <c r="Y20" s="7">
        <v>2.0593967819088742E-3</v>
      </c>
      <c r="Z20" s="7">
        <v>3.3599849397208921E-3</v>
      </c>
      <c r="AA20" s="7">
        <v>1.9828600022248162E-3</v>
      </c>
      <c r="AB20" s="7">
        <v>1.799994526404607E-3</v>
      </c>
      <c r="AC20" s="7">
        <v>2.9647709316486309E-3</v>
      </c>
      <c r="AD20" s="7">
        <v>2.0597365548397223E-3</v>
      </c>
      <c r="AF20" s="17">
        <v>9.9157211126981865E-3</v>
      </c>
    </row>
    <row r="21" spans="1:32" x14ac:dyDescent="0.3">
      <c r="A21" s="7">
        <v>2.3600057710029226E-3</v>
      </c>
      <c r="B21" s="7">
        <v>3.5356993719671717E-3</v>
      </c>
      <c r="C21" s="7">
        <v>3.5574189684292861E-3</v>
      </c>
      <c r="D21" s="7">
        <v>2.3283317584243965E-3</v>
      </c>
      <c r="E21" s="7">
        <v>1.7814822223195244E-3</v>
      </c>
      <c r="F21" s="7">
        <v>2.1326924895178215E-3</v>
      </c>
      <c r="G21" s="7">
        <v>1.8889522172047873E-3</v>
      </c>
      <c r="H21" s="7">
        <v>2.3514714687813362E-3</v>
      </c>
      <c r="I21" s="7">
        <v>3.0430986503302989E-3</v>
      </c>
      <c r="J21" s="7">
        <v>1.7408268119949489E-3</v>
      </c>
      <c r="K21" s="7">
        <v>1.4525177412502367E-3</v>
      </c>
      <c r="L21" s="7">
        <v>2.5763689999021453E-3</v>
      </c>
      <c r="M21" s="7">
        <v>3.8336732478234455E-3</v>
      </c>
      <c r="N21" s="7">
        <v>1.5213014232857204E-3</v>
      </c>
      <c r="O21" s="7">
        <v>3.5071111909898019E-3</v>
      </c>
      <c r="P21" s="7">
        <v>2.6767986992444356E-3</v>
      </c>
      <c r="Q21" s="7">
        <v>2.136031324929415E-3</v>
      </c>
      <c r="R21" s="7">
        <v>1.5047797555727143E-3</v>
      </c>
      <c r="S21" s="7">
        <v>1.2888134866958506E-2</v>
      </c>
      <c r="T21" s="7">
        <v>3.4395232916836602E-3</v>
      </c>
      <c r="U21" s="7">
        <v>2.2450227329039638E-3</v>
      </c>
      <c r="V21" s="7">
        <v>3.011629779659142E-3</v>
      </c>
      <c r="W21" s="7">
        <v>6.1282675731933623E-3</v>
      </c>
      <c r="X21" s="7">
        <v>2.0081343310658839E-3</v>
      </c>
      <c r="Y21" s="7">
        <v>2.5387215223536754E-3</v>
      </c>
      <c r="Z21" s="7">
        <v>4.8526969615829869E-3</v>
      </c>
      <c r="AA21" s="7">
        <v>1.5732357858247062E-3</v>
      </c>
      <c r="AB21" s="7">
        <v>1.1693750823786508E-3</v>
      </c>
      <c r="AC21" s="7">
        <v>4.4933947567624899E-3</v>
      </c>
      <c r="AD21" s="7">
        <v>1.5867521630024619E-3</v>
      </c>
      <c r="AF21" s="17">
        <v>4.7818605397556514E-3</v>
      </c>
    </row>
    <row r="22" spans="1:32" x14ac:dyDescent="0.3">
      <c r="A22" s="7">
        <v>1.9746867900729162E-3</v>
      </c>
      <c r="B22" s="7">
        <v>5.8567620889917087E-3</v>
      </c>
      <c r="C22" s="7">
        <v>3.5197411452386287E-3</v>
      </c>
      <c r="D22" s="7">
        <v>2.8244740356994169E-3</v>
      </c>
      <c r="E22" s="7">
        <v>4.3933039776248017E-3</v>
      </c>
      <c r="F22" s="7">
        <v>3.7813528018831965E-3</v>
      </c>
      <c r="G22" s="7">
        <v>3.0641686413297848E-3</v>
      </c>
      <c r="H22" s="7">
        <v>5.4325618721016728E-3</v>
      </c>
      <c r="I22" s="7">
        <v>5.2861214984274724E-3</v>
      </c>
      <c r="J22" s="7">
        <v>4.4139992540125827E-3</v>
      </c>
      <c r="K22" s="7">
        <v>2.1147813110168354E-4</v>
      </c>
      <c r="L22" s="7">
        <v>3.4229565698009798E-3</v>
      </c>
      <c r="M22" s="7">
        <v>6.0660657247355032E-3</v>
      </c>
      <c r="N22" s="7">
        <v>2.6268597763200252E-3</v>
      </c>
      <c r="O22" s="7">
        <v>5.9337857576132877E-3</v>
      </c>
      <c r="P22" s="7">
        <v>2.1498946558537522E-3</v>
      </c>
      <c r="Q22" s="7">
        <v>2.9773394096317186E-3</v>
      </c>
      <c r="R22" s="7">
        <v>2.4581260570050696E-3</v>
      </c>
      <c r="S22" s="7">
        <v>3.4395232916836602E-3</v>
      </c>
      <c r="T22" s="7">
        <v>9.4303389923153166E-3</v>
      </c>
      <c r="U22" s="7">
        <v>1.0815715321988073E-3</v>
      </c>
      <c r="V22" s="7">
        <v>2.9038671774632156E-3</v>
      </c>
      <c r="W22" s="7">
        <v>2.1075608953974199E-3</v>
      </c>
      <c r="X22" s="7">
        <v>4.6770011115462298E-3</v>
      </c>
      <c r="Y22" s="7">
        <v>5.8290088539069132E-3</v>
      </c>
      <c r="Z22" s="7">
        <v>9.2204128091659694E-3</v>
      </c>
      <c r="AA22" s="7">
        <v>4.2628225954180546E-3</v>
      </c>
      <c r="AB22" s="7">
        <v>3.9106853215895498E-3</v>
      </c>
      <c r="AC22" s="7">
        <v>8.09599442702553E-3</v>
      </c>
      <c r="AD22" s="7">
        <v>4.0311611390987882E-3</v>
      </c>
      <c r="AF22" s="17">
        <v>1.2239979045882679E-2</v>
      </c>
    </row>
    <row r="23" spans="1:32" x14ac:dyDescent="0.3">
      <c r="A23" s="7">
        <v>6.9123639118671162E-4</v>
      </c>
      <c r="B23" s="7">
        <v>3.6586966277002073E-4</v>
      </c>
      <c r="C23" s="7">
        <v>9.1615708699997788E-4</v>
      </c>
      <c r="D23" s="7">
        <v>5.7732531805224823E-4</v>
      </c>
      <c r="E23" s="7">
        <v>6.699546072629581E-5</v>
      </c>
      <c r="F23" s="7">
        <v>9.4322029082712718E-4</v>
      </c>
      <c r="G23" s="7">
        <v>6.5361274837922798E-4</v>
      </c>
      <c r="H23" s="7">
        <v>4.8357813194424256E-4</v>
      </c>
      <c r="I23" s="7">
        <v>1.0389046466522409E-3</v>
      </c>
      <c r="J23" s="7">
        <v>4.4372076386075079E-4</v>
      </c>
      <c r="K23" s="7">
        <v>6.3345055165224323E-4</v>
      </c>
      <c r="L23" s="7">
        <v>1.1693402275278061E-3</v>
      </c>
      <c r="M23" s="7">
        <v>4.2265971299996845E-4</v>
      </c>
      <c r="N23" s="7">
        <v>4.3080250768179589E-4</v>
      </c>
      <c r="O23" s="7">
        <v>5.1917901212123353E-4</v>
      </c>
      <c r="P23" s="7">
        <v>2.666461224297448E-3</v>
      </c>
      <c r="Q23" s="7">
        <v>6.8672448205785316E-4</v>
      </c>
      <c r="R23" s="7">
        <v>8.2752979072917249E-4</v>
      </c>
      <c r="S23" s="7">
        <v>2.2450227329039638E-3</v>
      </c>
      <c r="T23" s="7">
        <v>1.0815715321988073E-3</v>
      </c>
      <c r="U23" s="7">
        <v>3.6183920007446723E-3</v>
      </c>
      <c r="V23" s="7">
        <v>8.9614116328063352E-4</v>
      </c>
      <c r="W23" s="7">
        <v>1.1718918157301195E-3</v>
      </c>
      <c r="X23" s="7">
        <v>4.170572621284721E-5</v>
      </c>
      <c r="Y23" s="7">
        <v>7.4693325834822115E-4</v>
      </c>
      <c r="Z23" s="7">
        <v>1.4981300761684995E-3</v>
      </c>
      <c r="AA23" s="7">
        <v>1.0581443212937024E-3</v>
      </c>
      <c r="AB23" s="7">
        <v>5.6210738185387236E-4</v>
      </c>
      <c r="AC23" s="7">
        <v>8.7168276341616127E-4</v>
      </c>
      <c r="AD23" s="7">
        <v>3.9533756765283229E-4</v>
      </c>
      <c r="AF23" s="17">
        <v>7.5572808797761629E-3</v>
      </c>
    </row>
    <row r="24" spans="1:32" x14ac:dyDescent="0.3">
      <c r="A24" s="7">
        <v>1.8120435642693046E-3</v>
      </c>
      <c r="B24" s="7">
        <v>2.4795458881906396E-3</v>
      </c>
      <c r="C24" s="7">
        <v>2.383582057335847E-3</v>
      </c>
      <c r="D24" s="7">
        <v>3.1450387477968919E-3</v>
      </c>
      <c r="E24" s="7">
        <v>2.1479629930577066E-3</v>
      </c>
      <c r="F24" s="7">
        <v>2.5906351181880869E-3</v>
      </c>
      <c r="G24" s="7">
        <v>2.4117110190098648E-3</v>
      </c>
      <c r="H24" s="7">
        <v>3.1293529022805547E-3</v>
      </c>
      <c r="I24" s="7">
        <v>3.0980845852455665E-3</v>
      </c>
      <c r="J24" s="7">
        <v>2.607118829770062E-3</v>
      </c>
      <c r="K24" s="7">
        <v>1.5641899231816977E-3</v>
      </c>
      <c r="L24" s="7">
        <v>1.4423513431174255E-3</v>
      </c>
      <c r="M24" s="7">
        <v>2.7390410031274256E-3</v>
      </c>
      <c r="N24" s="7">
        <v>2.4280857864644079E-3</v>
      </c>
      <c r="O24" s="7">
        <v>4.368598343219403E-3</v>
      </c>
      <c r="P24" s="7">
        <v>1.4583967615928691E-3</v>
      </c>
      <c r="Q24" s="7">
        <v>1.9092317195090231E-3</v>
      </c>
      <c r="R24" s="7">
        <v>1.9202569084776344E-3</v>
      </c>
      <c r="S24" s="7">
        <v>3.011629779659142E-3</v>
      </c>
      <c r="T24" s="7">
        <v>2.9038671774632156E-3</v>
      </c>
      <c r="U24" s="7">
        <v>8.9614116328063352E-4</v>
      </c>
      <c r="V24" s="7">
        <v>5.3473114548986712E-3</v>
      </c>
      <c r="W24" s="7">
        <v>1.9778414199021258E-3</v>
      </c>
      <c r="X24" s="7">
        <v>2.6422451154458288E-3</v>
      </c>
      <c r="Y24" s="7">
        <v>3.1655166652587948E-3</v>
      </c>
      <c r="Z24" s="7">
        <v>5.5010915080669839E-3</v>
      </c>
      <c r="AA24" s="7">
        <v>9.9215318143982124E-4</v>
      </c>
      <c r="AB24" s="7">
        <v>1.5667997093260617E-3</v>
      </c>
      <c r="AC24" s="7">
        <v>3.0982851073354783E-3</v>
      </c>
      <c r="AD24" s="7">
        <v>1.753049383319066E-3</v>
      </c>
      <c r="AF24" s="17">
        <v>-6.1493094837483642E-4</v>
      </c>
    </row>
    <row r="25" spans="1:32" x14ac:dyDescent="0.3">
      <c r="A25" s="7">
        <v>1.1540966804552302E-3</v>
      </c>
      <c r="B25" s="7">
        <v>4.079671421913348E-3</v>
      </c>
      <c r="C25" s="7">
        <v>2.1702026703433659E-3</v>
      </c>
      <c r="D25" s="7">
        <v>2.0817894334128162E-3</v>
      </c>
      <c r="E25" s="7">
        <v>1.5724590754507776E-3</v>
      </c>
      <c r="F25" s="7">
        <v>1.7420497678581025E-3</v>
      </c>
      <c r="G25" s="7">
        <v>1.5025559409206277E-3</v>
      </c>
      <c r="H25" s="7">
        <v>2.2664922543573214E-3</v>
      </c>
      <c r="I25" s="7">
        <v>1.357927401447869E-3</v>
      </c>
      <c r="J25" s="7">
        <v>1.8723169695680584E-3</v>
      </c>
      <c r="K25" s="7">
        <v>7.9161824507771193E-4</v>
      </c>
      <c r="L25" s="7">
        <v>9.2414605387061872E-4</v>
      </c>
      <c r="M25" s="7">
        <v>3.8898734855652571E-3</v>
      </c>
      <c r="N25" s="7">
        <v>5.9247078761677941E-4</v>
      </c>
      <c r="O25" s="7">
        <v>3.6029111530989553E-3</v>
      </c>
      <c r="P25" s="7">
        <v>1.5320571364968905E-3</v>
      </c>
      <c r="Q25" s="7">
        <v>1.5394907132375291E-3</v>
      </c>
      <c r="R25" s="7">
        <v>1.2609179485031073E-3</v>
      </c>
      <c r="S25" s="7">
        <v>6.1282675731933623E-3</v>
      </c>
      <c r="T25" s="7">
        <v>2.1075608953974199E-3</v>
      </c>
      <c r="U25" s="7">
        <v>1.1718918157301195E-3</v>
      </c>
      <c r="V25" s="7">
        <v>1.9778414199021258E-3</v>
      </c>
      <c r="W25" s="7">
        <v>5.5802055211083132E-3</v>
      </c>
      <c r="X25" s="7">
        <v>1.3701539089596667E-3</v>
      </c>
      <c r="Y25" s="7">
        <v>1.4424883990414659E-3</v>
      </c>
      <c r="Z25" s="7">
        <v>2.9104991939697721E-3</v>
      </c>
      <c r="AA25" s="7">
        <v>8.157273777875426E-4</v>
      </c>
      <c r="AB25" s="7">
        <v>8.890399363504581E-4</v>
      </c>
      <c r="AC25" s="7">
        <v>2.6087588950979229E-3</v>
      </c>
      <c r="AD25" s="7">
        <v>1.2751995956839705E-3</v>
      </c>
      <c r="AF25" s="17">
        <v>-2.6173178187012709E-3</v>
      </c>
    </row>
    <row r="26" spans="1:32" x14ac:dyDescent="0.3">
      <c r="A26" s="7">
        <v>1.9433031419644308E-3</v>
      </c>
      <c r="B26" s="7">
        <v>5.7026644189779093E-3</v>
      </c>
      <c r="C26" s="7">
        <v>3.4629976578599213E-3</v>
      </c>
      <c r="D26" s="7">
        <v>3.0891143466083063E-3</v>
      </c>
      <c r="E26" s="7">
        <v>4.152081607538001E-3</v>
      </c>
      <c r="F26" s="7">
        <v>3.7514856395148804E-3</v>
      </c>
      <c r="G26" s="7">
        <v>3.6074959413396859E-3</v>
      </c>
      <c r="H26" s="7">
        <v>5.9218241703404258E-3</v>
      </c>
      <c r="I26" s="7">
        <v>5.0814341261584796E-3</v>
      </c>
      <c r="J26" s="7">
        <v>5.2553467810551096E-3</v>
      </c>
      <c r="K26" s="7">
        <v>-1.6543932340645803E-4</v>
      </c>
      <c r="L26" s="7">
        <v>2.4335330278885841E-3</v>
      </c>
      <c r="M26" s="7">
        <v>5.8259637419216534E-3</v>
      </c>
      <c r="N26" s="7">
        <v>2.6978319876377523E-3</v>
      </c>
      <c r="O26" s="7">
        <v>6.4703172983487768E-3</v>
      </c>
      <c r="P26" s="7">
        <v>7.6458159160457801E-4</v>
      </c>
      <c r="Q26" s="7">
        <v>2.246363345544798E-3</v>
      </c>
      <c r="R26" s="7">
        <v>1.5964286575237427E-3</v>
      </c>
      <c r="S26" s="7">
        <v>2.0081343310658839E-3</v>
      </c>
      <c r="T26" s="7">
        <v>4.6770011115462298E-3</v>
      </c>
      <c r="U26" s="7">
        <v>4.170572621284721E-5</v>
      </c>
      <c r="V26" s="7">
        <v>2.6422451154458288E-3</v>
      </c>
      <c r="W26" s="7">
        <v>1.3701539089596667E-3</v>
      </c>
      <c r="X26" s="7">
        <v>5.7848069594524775E-3</v>
      </c>
      <c r="Y26" s="7">
        <v>5.3151006263331716E-3</v>
      </c>
      <c r="Z26" s="7">
        <v>7.5542530621858471E-3</v>
      </c>
      <c r="AA26" s="7">
        <v>2.1349115809638996E-3</v>
      </c>
      <c r="AB26" s="7">
        <v>3.1333846356201888E-3</v>
      </c>
      <c r="AC26" s="7">
        <v>6.7893213556988923E-3</v>
      </c>
      <c r="AD26" s="7">
        <v>3.2585599076153365E-3</v>
      </c>
      <c r="AF26" s="17">
        <v>-1.5585568749412599E-3</v>
      </c>
    </row>
    <row r="27" spans="1:32" x14ac:dyDescent="0.3">
      <c r="A27" s="7">
        <v>1.7364539456058284E-3</v>
      </c>
      <c r="B27" s="7">
        <v>6.3819744071839535E-3</v>
      </c>
      <c r="C27" s="7">
        <v>2.1866615723753527E-3</v>
      </c>
      <c r="D27" s="7">
        <v>2.8444248987025507E-3</v>
      </c>
      <c r="E27" s="7">
        <v>4.3127698574231292E-3</v>
      </c>
      <c r="F27" s="7">
        <v>4.1789886878068555E-3</v>
      </c>
      <c r="G27" s="7">
        <v>3.2591024138710267E-3</v>
      </c>
      <c r="H27" s="7">
        <v>7.3302384046999413E-3</v>
      </c>
      <c r="I27" s="7">
        <v>6.9452665682849524E-3</v>
      </c>
      <c r="J27" s="7">
        <v>5.97724779836216E-3</v>
      </c>
      <c r="K27" s="7">
        <v>5.3610085630297413E-4</v>
      </c>
      <c r="L27" s="7">
        <v>3.1748469422523099E-3</v>
      </c>
      <c r="M27" s="7">
        <v>6.5849640930353021E-3</v>
      </c>
      <c r="N27" s="7">
        <v>3.8927745877437949E-3</v>
      </c>
      <c r="O27" s="7">
        <v>7.308237407426782E-3</v>
      </c>
      <c r="P27" s="7">
        <v>1.0907007444992472E-3</v>
      </c>
      <c r="Q27" s="7">
        <v>2.2076070109520009E-3</v>
      </c>
      <c r="R27" s="7">
        <v>2.0593967819088742E-3</v>
      </c>
      <c r="S27" s="7">
        <v>2.5387215223536754E-3</v>
      </c>
      <c r="T27" s="7">
        <v>5.8290088539069132E-3</v>
      </c>
      <c r="U27" s="7">
        <v>7.4693325834822115E-4</v>
      </c>
      <c r="V27" s="7">
        <v>3.1655166652587948E-3</v>
      </c>
      <c r="W27" s="7">
        <v>1.4424883990414659E-3</v>
      </c>
      <c r="X27" s="7">
        <v>5.3151006263331716E-3</v>
      </c>
      <c r="Y27" s="7">
        <v>8.845875820474091E-3</v>
      </c>
      <c r="Z27" s="7">
        <v>1.0617560828778509E-2</v>
      </c>
      <c r="AA27" s="7">
        <v>2.9681305218098122E-3</v>
      </c>
      <c r="AB27" s="7">
        <v>3.5274560754207668E-3</v>
      </c>
      <c r="AC27" s="7">
        <v>8.3055228717136553E-3</v>
      </c>
      <c r="AD27" s="7">
        <v>3.8116290986035268E-3</v>
      </c>
      <c r="AF27" s="17">
        <v>-7.798403172385969E-3</v>
      </c>
    </row>
    <row r="28" spans="1:32" x14ac:dyDescent="0.3">
      <c r="A28" s="7">
        <v>3.1166687133878487E-3</v>
      </c>
      <c r="B28" s="7">
        <v>9.1378892663955182E-3</v>
      </c>
      <c r="C28" s="7">
        <v>4.9178305202009481E-3</v>
      </c>
      <c r="D28" s="7">
        <v>4.8142831983273814E-3</v>
      </c>
      <c r="E28" s="7">
        <v>6.0680443552748155E-3</v>
      </c>
      <c r="F28" s="7">
        <v>6.0890993093112569E-3</v>
      </c>
      <c r="G28" s="7">
        <v>6.1668034523249451E-3</v>
      </c>
      <c r="H28" s="7">
        <v>9.5449616457973993E-3</v>
      </c>
      <c r="I28" s="7">
        <v>1.0101437266593322E-2</v>
      </c>
      <c r="J28" s="7">
        <v>7.47245834343739E-3</v>
      </c>
      <c r="K28" s="7">
        <v>7.32360345164446E-4</v>
      </c>
      <c r="L28" s="7">
        <v>5.6740114408066469E-3</v>
      </c>
      <c r="M28" s="7">
        <v>9.916240560862731E-3</v>
      </c>
      <c r="N28" s="7">
        <v>5.6212203663312558E-3</v>
      </c>
      <c r="O28" s="7">
        <v>9.5505128961767324E-3</v>
      </c>
      <c r="P28" s="7">
        <v>2.6409200706091563E-3</v>
      </c>
      <c r="Q28" s="7">
        <v>3.4135789223413088E-3</v>
      </c>
      <c r="R28" s="7">
        <v>3.3599849397208921E-3</v>
      </c>
      <c r="S28" s="7">
        <v>4.8526969615829869E-3</v>
      </c>
      <c r="T28" s="7">
        <v>9.2204128091659694E-3</v>
      </c>
      <c r="U28" s="7">
        <v>1.4981300761684995E-3</v>
      </c>
      <c r="V28" s="7">
        <v>5.5010915080669839E-3</v>
      </c>
      <c r="W28" s="7">
        <v>2.9104991939697721E-3</v>
      </c>
      <c r="X28" s="7">
        <v>7.5542530621858471E-3</v>
      </c>
      <c r="Y28" s="7">
        <v>1.0617560828778509E-2</v>
      </c>
      <c r="Z28" s="7">
        <v>2.2541525873213404E-2</v>
      </c>
      <c r="AA28" s="7">
        <v>5.1118762411525766E-3</v>
      </c>
      <c r="AB28" s="7">
        <v>4.8249493302462846E-3</v>
      </c>
      <c r="AC28" s="7">
        <v>1.228236899167395E-2</v>
      </c>
      <c r="AD28" s="7">
        <v>5.7117479602501508E-3</v>
      </c>
      <c r="AF28" s="17">
        <v>-7.519232637903564E-3</v>
      </c>
    </row>
    <row r="29" spans="1:32" x14ac:dyDescent="0.3">
      <c r="A29" s="7">
        <v>1.2086178531878398E-3</v>
      </c>
      <c r="B29" s="7">
        <v>1.8429309718483217E-3</v>
      </c>
      <c r="C29" s="7">
        <v>9.6081333470328151E-4</v>
      </c>
      <c r="D29" s="7">
        <v>1.7458317327857494E-3</v>
      </c>
      <c r="E29" s="7">
        <v>1.4847253270266073E-3</v>
      </c>
      <c r="F29" s="7">
        <v>1.4256780993732307E-3</v>
      </c>
      <c r="G29" s="7">
        <v>1.5463198460653528E-3</v>
      </c>
      <c r="H29" s="7">
        <v>2.4419870474809884E-3</v>
      </c>
      <c r="I29" s="7">
        <v>2.4204257927906091E-3</v>
      </c>
      <c r="J29" s="7">
        <v>1.7451344782734191E-3</v>
      </c>
      <c r="K29" s="7">
        <v>5.3308099379059241E-5</v>
      </c>
      <c r="L29" s="7">
        <v>2.5594237623329276E-3</v>
      </c>
      <c r="M29" s="7">
        <v>1.9567430279687588E-3</v>
      </c>
      <c r="N29" s="7">
        <v>4.0846774786940268E-5</v>
      </c>
      <c r="O29" s="7">
        <v>4.7585275602122831E-3</v>
      </c>
      <c r="P29" s="7">
        <v>1.5092846948161671E-3</v>
      </c>
      <c r="Q29" s="7">
        <v>1.7709192772974896E-3</v>
      </c>
      <c r="R29" s="7">
        <v>1.9828600022248162E-3</v>
      </c>
      <c r="S29" s="7">
        <v>1.5732357858247062E-3</v>
      </c>
      <c r="T29" s="7">
        <v>4.2628225954180546E-3</v>
      </c>
      <c r="U29" s="7">
        <v>1.0581443212937024E-3</v>
      </c>
      <c r="V29" s="7">
        <v>9.9215318143982124E-4</v>
      </c>
      <c r="W29" s="7">
        <v>8.157273777875426E-4</v>
      </c>
      <c r="X29" s="7">
        <v>2.1349115809638996E-3</v>
      </c>
      <c r="Y29" s="7">
        <v>2.9681305218098122E-3</v>
      </c>
      <c r="Z29" s="7">
        <v>5.1118762411525766E-3</v>
      </c>
      <c r="AA29" s="7">
        <v>7.2960460110875957E-3</v>
      </c>
      <c r="AB29" s="7">
        <v>1.5141978433297382E-3</v>
      </c>
      <c r="AC29" s="7">
        <v>2.5546954984916122E-3</v>
      </c>
      <c r="AD29" s="7">
        <v>1.5857163312660524E-3</v>
      </c>
      <c r="AF29" s="17">
        <v>2.1610757701367812E-2</v>
      </c>
    </row>
    <row r="30" spans="1:32" x14ac:dyDescent="0.3">
      <c r="A30" s="7">
        <v>1.45606915048578E-3</v>
      </c>
      <c r="B30" s="7">
        <v>3.8822071295009919E-3</v>
      </c>
      <c r="C30" s="7">
        <v>1.2000365374160071E-3</v>
      </c>
      <c r="D30" s="7">
        <v>2.4646757360674873E-3</v>
      </c>
      <c r="E30" s="7">
        <v>3.7248298520269601E-3</v>
      </c>
      <c r="F30" s="7">
        <v>2.6759469374499113E-3</v>
      </c>
      <c r="G30" s="7">
        <v>2.1373962145003439E-3</v>
      </c>
      <c r="H30" s="7">
        <v>4.0922765559085819E-3</v>
      </c>
      <c r="I30" s="7">
        <v>3.2471699592072486E-3</v>
      </c>
      <c r="J30" s="7">
        <v>3.5296212393389585E-3</v>
      </c>
      <c r="K30" s="7">
        <v>-1.9414786655893706E-4</v>
      </c>
      <c r="L30" s="7">
        <v>1.9187205928992974E-3</v>
      </c>
      <c r="M30" s="7">
        <v>4.0589330120773051E-3</v>
      </c>
      <c r="N30" s="7">
        <v>1.8860732537281846E-3</v>
      </c>
      <c r="O30" s="7">
        <v>3.4943235420989206E-3</v>
      </c>
      <c r="P30" s="7">
        <v>1.1267013387991495E-3</v>
      </c>
      <c r="Q30" s="7">
        <v>1.4424001746347621E-3</v>
      </c>
      <c r="R30" s="7">
        <v>1.799994526404607E-3</v>
      </c>
      <c r="S30" s="7">
        <v>1.1693750823786508E-3</v>
      </c>
      <c r="T30" s="7">
        <v>3.9106853215895498E-3</v>
      </c>
      <c r="U30" s="7">
        <v>5.6210738185387236E-4</v>
      </c>
      <c r="V30" s="7">
        <v>1.5667997093260617E-3</v>
      </c>
      <c r="W30" s="7">
        <v>8.890399363504581E-4</v>
      </c>
      <c r="X30" s="7">
        <v>3.1333846356201888E-3</v>
      </c>
      <c r="Y30" s="7">
        <v>3.5274560754207668E-3</v>
      </c>
      <c r="Z30" s="7">
        <v>4.8249493302462846E-3</v>
      </c>
      <c r="AA30" s="7">
        <v>1.5141978433297382E-3</v>
      </c>
      <c r="AB30" s="7">
        <v>4.1593914991968958E-3</v>
      </c>
      <c r="AC30" s="7">
        <v>4.9176475035715445E-3</v>
      </c>
      <c r="AD30" s="7">
        <v>3.1936903995830579E-3</v>
      </c>
      <c r="AF30" s="17">
        <v>5.2997146708404106E-3</v>
      </c>
    </row>
    <row r="31" spans="1:32" x14ac:dyDescent="0.3">
      <c r="A31" s="7">
        <v>1.943169167651723E-3</v>
      </c>
      <c r="B31" s="7">
        <v>9.8298896391867934E-3</v>
      </c>
      <c r="C31" s="7">
        <v>6.5757909781266445E-3</v>
      </c>
      <c r="D31" s="7">
        <v>3.9696606660632617E-3</v>
      </c>
      <c r="E31" s="7">
        <v>6.0345769317669091E-3</v>
      </c>
      <c r="F31" s="7">
        <v>5.6207532036572768E-3</v>
      </c>
      <c r="G31" s="7">
        <v>4.1293042885421497E-3</v>
      </c>
      <c r="H31" s="7">
        <v>8.1996098382163471E-3</v>
      </c>
      <c r="I31" s="7">
        <v>7.2734508141150409E-3</v>
      </c>
      <c r="J31" s="7">
        <v>6.6485223847282809E-3</v>
      </c>
      <c r="K31" s="7">
        <v>1.364033267883327E-3</v>
      </c>
      <c r="L31" s="7">
        <v>3.1953062542965011E-3</v>
      </c>
      <c r="M31" s="7">
        <v>9.7287475102999978E-3</v>
      </c>
      <c r="N31" s="7">
        <v>3.4699044142861403E-3</v>
      </c>
      <c r="O31" s="7">
        <v>8.5937677856264515E-3</v>
      </c>
      <c r="P31" s="7">
        <v>1.1688517431267371E-3</v>
      </c>
      <c r="Q31" s="7">
        <v>3.6490151467188409E-3</v>
      </c>
      <c r="R31" s="7">
        <v>2.9647709316486309E-3</v>
      </c>
      <c r="S31" s="7">
        <v>4.4933947567624899E-3</v>
      </c>
      <c r="T31" s="7">
        <v>8.09599442702553E-3</v>
      </c>
      <c r="U31" s="7">
        <v>8.7168276341616127E-4</v>
      </c>
      <c r="V31" s="7">
        <v>3.0982851073354783E-3</v>
      </c>
      <c r="W31" s="7">
        <v>2.6087588950979229E-3</v>
      </c>
      <c r="X31" s="7">
        <v>6.7893213556988923E-3</v>
      </c>
      <c r="Y31" s="7">
        <v>8.3055228717136553E-3</v>
      </c>
      <c r="Z31" s="7">
        <v>1.228236899167395E-2</v>
      </c>
      <c r="AA31" s="7">
        <v>2.5546954984916122E-3</v>
      </c>
      <c r="AB31" s="7">
        <v>4.9176475035715445E-3</v>
      </c>
      <c r="AC31" s="7">
        <v>1.9090064164384024E-2</v>
      </c>
      <c r="AD31" s="7">
        <v>6.0393870610203635E-3</v>
      </c>
      <c r="AF31" s="17">
        <v>-9.5495114311798957E-3</v>
      </c>
    </row>
    <row r="32" spans="1:32" x14ac:dyDescent="0.3">
      <c r="A32" s="7">
        <v>1.1921210953154448E-3</v>
      </c>
      <c r="B32" s="7">
        <v>4.0714430304877522E-3</v>
      </c>
      <c r="C32" s="7">
        <v>1.6728491358270921E-3</v>
      </c>
      <c r="D32" s="7">
        <v>2.2365143836244402E-3</v>
      </c>
      <c r="E32" s="7">
        <v>3.843056397417386E-3</v>
      </c>
      <c r="F32" s="7">
        <v>2.3313656336295106E-3</v>
      </c>
      <c r="G32" s="7">
        <v>2.5722249157352712E-3</v>
      </c>
      <c r="H32" s="7">
        <v>3.9883344027427329E-3</v>
      </c>
      <c r="I32" s="7">
        <v>2.8729765487115369E-3</v>
      </c>
      <c r="J32" s="7">
        <v>3.5670421177579005E-3</v>
      </c>
      <c r="K32" s="7">
        <v>-1.7422386638884697E-4</v>
      </c>
      <c r="L32" s="7">
        <v>2.0298015012944434E-3</v>
      </c>
      <c r="M32" s="7">
        <v>4.417252691005142E-3</v>
      </c>
      <c r="N32" s="7">
        <v>1.9538420122091745E-3</v>
      </c>
      <c r="O32" s="7">
        <v>3.5533356355167008E-3</v>
      </c>
      <c r="P32" s="7">
        <v>1.0670574801908868E-3</v>
      </c>
      <c r="Q32" s="7">
        <v>1.1019884486609215E-3</v>
      </c>
      <c r="R32" s="7">
        <v>2.0597365548397223E-3</v>
      </c>
      <c r="S32" s="7">
        <v>1.5867521630024619E-3</v>
      </c>
      <c r="T32" s="7">
        <v>4.0311611390987882E-3</v>
      </c>
      <c r="U32" s="7">
        <v>3.9533756765283229E-4</v>
      </c>
      <c r="V32" s="7">
        <v>1.753049383319066E-3</v>
      </c>
      <c r="W32" s="7">
        <v>1.2751995956839705E-3</v>
      </c>
      <c r="X32" s="7">
        <v>3.2585599076153365E-3</v>
      </c>
      <c r="Y32" s="7">
        <v>3.8116290986035268E-3</v>
      </c>
      <c r="Z32" s="7">
        <v>5.7117479602501508E-3</v>
      </c>
      <c r="AA32" s="7">
        <v>1.5857163312660524E-3</v>
      </c>
      <c r="AB32" s="7">
        <v>3.1936903995830579E-3</v>
      </c>
      <c r="AC32" s="7">
        <v>6.0393870610203635E-3</v>
      </c>
      <c r="AD32" s="7">
        <v>4.2711793497885436E-3</v>
      </c>
      <c r="AF32" s="17">
        <v>3.9425184826952812E-3</v>
      </c>
    </row>
    <row r="33" spans="1:89" ht="14.5" thickBot="1" x14ac:dyDescent="0.35"/>
    <row r="34" spans="1:89" ht="14.5" thickBot="1" x14ac:dyDescent="0.35">
      <c r="A34" s="17" t="s">
        <v>68</v>
      </c>
      <c r="B34" s="44">
        <v>-5.0000000000000001E-3</v>
      </c>
      <c r="C34" s="84">
        <v>0</v>
      </c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</row>
    <row r="35" spans="1:89" ht="14" customHeight="1" thickBot="1" x14ac:dyDescent="0.55000000000000004">
      <c r="C35" s="16"/>
      <c r="E35" s="16"/>
      <c r="F35" s="16"/>
      <c r="G35" s="16"/>
      <c r="H35" s="16"/>
      <c r="I35" s="16"/>
      <c r="J35" s="16"/>
      <c r="N35" s="16"/>
    </row>
    <row r="36" spans="1:89" x14ac:dyDescent="0.3">
      <c r="B36" s="12" t="s">
        <v>69</v>
      </c>
      <c r="C36" s="12" t="s">
        <v>70</v>
      </c>
    </row>
    <row r="37" spans="1:89" x14ac:dyDescent="0.3">
      <c r="B37" s="19">
        <f t="array" ref="B37:B66">MMULT(MINVERSE(A3:AD32),AF3:AF32-B34)/SUM(MMULT(MINVERSE(A3:AD32),AF3:AF32-B34))</f>
        <v>-0.35874108562077039</v>
      </c>
      <c r="C37" s="21">
        <f t="array" ref="C37:C66">MMULT(MINVERSE(A3:AD32),AF3:AF32)/SUM(MMULT(MINVERSE(A3:AD32),AF3:AF32))</f>
        <v>-0.76311933718212455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</row>
    <row r="38" spans="1:89" x14ac:dyDescent="0.3">
      <c r="B38" s="19">
        <v>-0.29552502748363119</v>
      </c>
      <c r="C38" s="21">
        <v>-0.32488429738250352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</row>
    <row r="39" spans="1:89" x14ac:dyDescent="0.3">
      <c r="B39" s="19">
        <v>0.10344658475700226</v>
      </c>
      <c r="C39" s="21">
        <v>0.15587203607120756</v>
      </c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</row>
    <row r="40" spans="1:89" x14ac:dyDescent="0.3">
      <c r="B40" s="19">
        <v>-0.18272415499429573</v>
      </c>
      <c r="C40" s="21">
        <v>-0.29103426567958535</v>
      </c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</row>
    <row r="41" spans="1:89" x14ac:dyDescent="0.3">
      <c r="B41" s="19">
        <v>0.83031306359484103</v>
      </c>
      <c r="C41" s="21">
        <v>1.3138117852719644</v>
      </c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</row>
    <row r="42" spans="1:89" x14ac:dyDescent="0.3">
      <c r="B42" s="19">
        <v>0.14324746122918025</v>
      </c>
      <c r="C42" s="21">
        <v>0.24926817347335048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</row>
    <row r="43" spans="1:89" x14ac:dyDescent="0.3">
      <c r="B43" s="19">
        <v>4.0147210371194959E-2</v>
      </c>
      <c r="C43" s="21">
        <v>-3.0511508758440183E-3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</row>
    <row r="44" spans="1:89" x14ac:dyDescent="0.3">
      <c r="B44" s="19">
        <v>-0.39637744460076946</v>
      </c>
      <c r="C44" s="21">
        <v>-0.43727041581650011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</row>
    <row r="45" spans="1:89" x14ac:dyDescent="0.3">
      <c r="B45" s="19">
        <v>0.88022010864394651</v>
      </c>
      <c r="C45" s="21">
        <v>1.3419334298330714</v>
      </c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</row>
    <row r="46" spans="1:89" x14ac:dyDescent="0.3">
      <c r="B46" s="19">
        <v>-0.21251619254617862</v>
      </c>
      <c r="C46" s="21">
        <v>-0.31182986085654629</v>
      </c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</row>
    <row r="47" spans="1:89" x14ac:dyDescent="0.3">
      <c r="B47" s="19">
        <v>0.3503576982962599</v>
      </c>
      <c r="C47" s="21">
        <v>0.4646050935622697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</row>
    <row r="48" spans="1:89" x14ac:dyDescent="0.3">
      <c r="B48" s="19">
        <v>0.43546745568934958</v>
      </c>
      <c r="C48" s="21">
        <v>0.6687860316806179</v>
      </c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</row>
    <row r="49" spans="2:89" x14ac:dyDescent="0.3">
      <c r="B49" s="19">
        <v>0.62155540191833414</v>
      </c>
      <c r="C49" s="21">
        <v>0.83963511774274913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</row>
    <row r="50" spans="2:89" x14ac:dyDescent="0.3">
      <c r="B50" s="19">
        <v>0.26308939075318344</v>
      </c>
      <c r="C50" s="21">
        <v>0.36878185527910928</v>
      </c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</row>
    <row r="51" spans="2:89" x14ac:dyDescent="0.3">
      <c r="B51" s="19">
        <v>0.16065807143755442</v>
      </c>
      <c r="C51" s="21">
        <v>0.30109929088890475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</row>
    <row r="52" spans="2:89" x14ac:dyDescent="0.3">
      <c r="B52" s="19">
        <v>0.69589974819422085</v>
      </c>
      <c r="C52" s="21">
        <v>1.0711358880227029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</row>
    <row r="53" spans="2:89" x14ac:dyDescent="0.3">
      <c r="B53" s="19">
        <v>8.2554069623832424E-2</v>
      </c>
      <c r="C53" s="21">
        <v>9.136995536526156E-2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</row>
    <row r="54" spans="2:89" x14ac:dyDescent="0.3">
      <c r="B54" s="19">
        <v>-0.16543755306891592</v>
      </c>
      <c r="C54" s="21">
        <v>-0.3023223025237462</v>
      </c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</row>
    <row r="55" spans="2:89" x14ac:dyDescent="0.3">
      <c r="B55" s="19">
        <v>-0.14057350945943667</v>
      </c>
      <c r="C55" s="21">
        <v>-0.11153926816107081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</row>
    <row r="56" spans="2:89" x14ac:dyDescent="0.3">
      <c r="B56" s="19">
        <v>-0.21503368639763665</v>
      </c>
      <c r="C56" s="21">
        <v>-0.28559983231382347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</row>
    <row r="57" spans="2:89" x14ac:dyDescent="0.3">
      <c r="B57" s="19">
        <v>-0.41139567360380364</v>
      </c>
      <c r="C57" s="21">
        <v>-0.67916772903457112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</row>
    <row r="58" spans="2:89" x14ac:dyDescent="0.3">
      <c r="B58" s="19">
        <v>-6.6964734269656587E-2</v>
      </c>
      <c r="C58" s="21">
        <v>-5.3174326120946039E-2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</row>
    <row r="59" spans="2:89" x14ac:dyDescent="0.3">
      <c r="B59" s="19">
        <v>-5.1925713373319228E-2</v>
      </c>
      <c r="C59" s="21">
        <v>-0.26379483587536834</v>
      </c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</row>
    <row r="60" spans="2:89" x14ac:dyDescent="0.3">
      <c r="B60" s="19">
        <v>-0.44897267063293012</v>
      </c>
      <c r="C60" s="21">
        <v>-0.81713808993533166</v>
      </c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</row>
    <row r="61" spans="2:89" x14ac:dyDescent="0.3">
      <c r="B61" s="19">
        <v>-0.41573117242455609</v>
      </c>
      <c r="C61" s="21">
        <v>-0.78327289873981176</v>
      </c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</row>
    <row r="62" spans="2:89" x14ac:dyDescent="0.3">
      <c r="B62" s="19">
        <v>-0.32520372318762925</v>
      </c>
      <c r="C62" s="21">
        <v>-0.44461448451108881</v>
      </c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</row>
    <row r="63" spans="2:89" x14ac:dyDescent="0.3">
      <c r="B63" s="19">
        <v>0.2939643617553655</v>
      </c>
      <c r="C63" s="21">
        <v>0.42249721102831023</v>
      </c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</row>
    <row r="64" spans="2:89" x14ac:dyDescent="0.3">
      <c r="B64" s="19">
        <v>-0.27783403709273569</v>
      </c>
      <c r="C64" s="21">
        <v>-0.48391386637856032</v>
      </c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</row>
    <row r="65" spans="1:89" x14ac:dyDescent="0.3">
      <c r="B65" s="19">
        <v>-0.10173652511620518</v>
      </c>
      <c r="C65" s="21">
        <v>-0.16570080673448551</v>
      </c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</row>
    <row r="66" spans="1:89" ht="14.5" thickBot="1" x14ac:dyDescent="0.35">
      <c r="B66" s="20">
        <v>0.16577227760820482</v>
      </c>
      <c r="C66" s="22">
        <v>0.23263189990238939</v>
      </c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</row>
    <row r="67" spans="1:89" x14ac:dyDescent="0.3"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</row>
    <row r="68" spans="1:89" x14ac:dyDescent="0.3">
      <c r="A68" s="83" t="s">
        <v>67</v>
      </c>
      <c r="B68" s="8">
        <f>SUMPRODUCT(AF3:AF32,B37:B66)</f>
        <v>7.2314076884209252E-2</v>
      </c>
      <c r="C68" s="8">
        <f>SUMPRODUCT(AF3:AF32,C37:C66)</f>
        <v>0.10926714232290896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87"/>
      <c r="AJ68" s="87"/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  <c r="AX68" s="87"/>
      <c r="AY68" s="87"/>
      <c r="AZ68" s="87"/>
      <c r="BA68" s="87"/>
      <c r="BB68" s="87"/>
      <c r="BC68" s="87"/>
      <c r="BD68" s="87"/>
      <c r="BE68" s="87"/>
      <c r="BF68" s="87"/>
      <c r="BG68" s="87"/>
      <c r="BH68" s="87"/>
      <c r="BI68" s="87"/>
      <c r="BJ68" s="87"/>
      <c r="BK68" s="87"/>
      <c r="BL68" s="87"/>
      <c r="BM68" s="87"/>
      <c r="BN68" s="87"/>
      <c r="BO68" s="87"/>
      <c r="BP68" s="87"/>
      <c r="BQ68" s="87"/>
      <c r="BR68" s="87"/>
      <c r="BS68" s="87"/>
      <c r="BT68" s="87"/>
      <c r="BU68" s="87"/>
      <c r="BV68" s="87"/>
      <c r="BW68" s="87"/>
      <c r="BX68" s="87"/>
      <c r="BY68" s="87"/>
      <c r="BZ68" s="87"/>
      <c r="CA68" s="87"/>
      <c r="CB68" s="87"/>
      <c r="CC68" s="87"/>
      <c r="CD68" s="87"/>
      <c r="CE68" s="87"/>
      <c r="CF68" s="87"/>
      <c r="CG68" s="87"/>
      <c r="CH68" s="87"/>
      <c r="CI68" s="87"/>
      <c r="CJ68" s="87"/>
      <c r="CK68" s="87"/>
    </row>
    <row r="69" spans="1:89" x14ac:dyDescent="0.3">
      <c r="A69" s="83" t="s">
        <v>71</v>
      </c>
      <c r="B69" s="8" cm="1">
        <f t="array" ref="B69">SQRT(MMULT(MMULT(TRANSPOSE(B37:B66),A3:AD32),B37:B66))</f>
        <v>6.0896163416584659E-2</v>
      </c>
      <c r="C69" s="8" cm="1">
        <f t="array" ref="C69">SQRT(MMULT(MMULT(TRANSPOSE(C37:C66),A3:AD32),C37:C66))</f>
        <v>9.1002787844477462E-2</v>
      </c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  <c r="CI69" s="87"/>
      <c r="CJ69" s="87"/>
      <c r="CK69" s="87"/>
    </row>
    <row r="70" spans="1:89" x14ac:dyDescent="0.3">
      <c r="A70" s="83" t="s">
        <v>72</v>
      </c>
      <c r="B70" s="23" cm="1">
        <f t="array" ref="B70">MMULT(MMULT(TRANSPOSE(B37:B66),A3:AD32),C37:C66)</f>
        <v>5.4807836077853276E-3</v>
      </c>
      <c r="C70" s="8"/>
    </row>
    <row r="71" spans="1:89" x14ac:dyDescent="0.3"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/>
    </row>
    <row r="72" spans="1:89" x14ac:dyDescent="0.3">
      <c r="A72" s="83" t="s">
        <v>157</v>
      </c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</row>
    <row r="73" spans="1:89" x14ac:dyDescent="0.3">
      <c r="A73" s="83" t="s">
        <v>158</v>
      </c>
      <c r="B73">
        <v>2.7236899252195346</v>
      </c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</row>
    <row r="74" spans="1:89" x14ac:dyDescent="0.3">
      <c r="A74" s="83" t="s">
        <v>73</v>
      </c>
      <c r="B74" s="8">
        <f>B73*B68+(1-B73)*C68</f>
        <v>8.6184502815443986E-3</v>
      </c>
      <c r="Q74" s="8"/>
      <c r="R74" s="8"/>
    </row>
    <row r="75" spans="1:89" x14ac:dyDescent="0.3">
      <c r="A75" s="83" t="s">
        <v>74</v>
      </c>
      <c r="B75" s="8">
        <f>SQRT(B73^2*B69^2+(1-B73)^2*C69^2+2*B73*(1-B73)*B70)</f>
        <v>2.5557859610678555E-2</v>
      </c>
      <c r="Q75" s="8"/>
      <c r="R75" s="8"/>
    </row>
    <row r="76" spans="1:89" x14ac:dyDescent="0.3">
      <c r="Q76" s="8"/>
      <c r="R76" s="8"/>
    </row>
    <row r="77" spans="1:89" x14ac:dyDescent="0.3">
      <c r="A77" t="s">
        <v>75</v>
      </c>
      <c r="Q77" s="8"/>
      <c r="R77" s="8"/>
    </row>
    <row r="78" spans="1:89" x14ac:dyDescent="0.3">
      <c r="A78" s="83" t="s">
        <v>109</v>
      </c>
      <c r="B78" s="83" t="s">
        <v>71</v>
      </c>
      <c r="C78" s="83" t="s">
        <v>119</v>
      </c>
      <c r="Q78" s="8"/>
      <c r="R78" s="8"/>
    </row>
    <row r="79" spans="1:89" x14ac:dyDescent="0.3">
      <c r="A79" s="24"/>
      <c r="B79" s="24">
        <f>B75</f>
        <v>2.5557859610678555E-2</v>
      </c>
      <c r="C79" s="24">
        <f>B74</f>
        <v>8.6184502815443986E-3</v>
      </c>
      <c r="D79" s="28"/>
      <c r="Q79" s="8"/>
      <c r="R79" s="8"/>
    </row>
    <row r="80" spans="1:89" x14ac:dyDescent="0.3">
      <c r="A80" s="68">
        <v>-1.5</v>
      </c>
      <c r="B80" s="8">
        <v>0.13783074867645556</v>
      </c>
      <c r="C80" s="8">
        <v>0.16469674048095856</v>
      </c>
      <c r="D80" s="28"/>
      <c r="Q80" s="8"/>
      <c r="R80" s="8"/>
    </row>
    <row r="81" spans="1:18" x14ac:dyDescent="0.3">
      <c r="A81" s="68">
        <v>-1.4</v>
      </c>
      <c r="B81" s="8">
        <v>0.13468098782878291</v>
      </c>
      <c r="C81" s="8">
        <v>0.16100143393708857</v>
      </c>
      <c r="D81" s="28"/>
      <c r="Q81" s="8"/>
      <c r="R81" s="8"/>
    </row>
    <row r="82" spans="1:18" x14ac:dyDescent="0.3">
      <c r="A82" s="68">
        <v>-1.3</v>
      </c>
      <c r="B82" s="8">
        <v>0.13153397790052729</v>
      </c>
      <c r="C82" s="8">
        <v>0.15730612739321859</v>
      </c>
      <c r="D82" s="28"/>
      <c r="Q82" s="8"/>
      <c r="R82" s="8"/>
    </row>
    <row r="83" spans="1:18" x14ac:dyDescent="0.3">
      <c r="A83" s="68">
        <v>-1.2</v>
      </c>
      <c r="B83" s="8">
        <v>0.12838992117807047</v>
      </c>
      <c r="C83" s="8">
        <v>0.15361082084934863</v>
      </c>
      <c r="D83" s="28"/>
      <c r="Q83" s="8"/>
      <c r="R83" s="8"/>
    </row>
    <row r="84" spans="1:18" x14ac:dyDescent="0.3">
      <c r="A84" s="68">
        <v>-1.1000000000000001</v>
      </c>
      <c r="B84" s="8">
        <v>0.1252490400596388</v>
      </c>
      <c r="C84" s="8">
        <v>0.14991551430547867</v>
      </c>
      <c r="D84" s="28"/>
      <c r="Q84" s="8"/>
      <c r="R84" s="8"/>
    </row>
    <row r="85" spans="1:18" x14ac:dyDescent="0.3">
      <c r="A85" s="68">
        <v>-1</v>
      </c>
      <c r="B85" s="8">
        <v>0.12211157958844844</v>
      </c>
      <c r="C85" s="8">
        <v>0.14622020776160866</v>
      </c>
      <c r="D85" s="28"/>
      <c r="Q85" s="8"/>
      <c r="R85" s="8"/>
    </row>
    <row r="86" spans="1:18" x14ac:dyDescent="0.3">
      <c r="A86" s="68">
        <v>-0.89999999999999902</v>
      </c>
      <c r="B86" s="8">
        <v>0.11897781037355686</v>
      </c>
      <c r="C86" s="8">
        <v>0.14252490121773867</v>
      </c>
      <c r="D86" s="28"/>
      <c r="Q86" s="8"/>
      <c r="R86" s="8"/>
    </row>
    <row r="87" spans="1:18" x14ac:dyDescent="0.3">
      <c r="A87" s="68">
        <v>-0.79999999999999905</v>
      </c>
      <c r="B87" s="8">
        <v>0.1158480319684424</v>
      </c>
      <c r="C87" s="8">
        <v>0.13882959467386868</v>
      </c>
      <c r="D87" s="28"/>
      <c r="Q87" s="8"/>
      <c r="R87" s="8"/>
    </row>
    <row r="88" spans="1:18" x14ac:dyDescent="0.3">
      <c r="A88" s="68">
        <v>-0.69999999999999896</v>
      </c>
      <c r="B88" s="8">
        <v>0.11272257679192561</v>
      </c>
      <c r="C88" s="8">
        <v>0.1351342881299987</v>
      </c>
      <c r="D88" s="28"/>
      <c r="Q88" s="8"/>
      <c r="R88" s="8"/>
    </row>
    <row r="89" spans="1:18" x14ac:dyDescent="0.3">
      <c r="A89" s="68">
        <v>-0.59999999999999898</v>
      </c>
      <c r="B89" s="8">
        <v>0.10960181469408707</v>
      </c>
      <c r="C89" s="8">
        <v>0.13143898158612874</v>
      </c>
      <c r="D89" s="28"/>
      <c r="Q89" s="8"/>
      <c r="R89" s="8"/>
    </row>
    <row r="90" spans="1:18" x14ac:dyDescent="0.3">
      <c r="A90" s="68">
        <v>-0.5</v>
      </c>
      <c r="B90" s="8">
        <v>0.10648615829222852</v>
      </c>
      <c r="C90" s="8">
        <v>0.12774367504225881</v>
      </c>
      <c r="D90" s="28"/>
      <c r="Q90" s="8"/>
      <c r="R90" s="8"/>
    </row>
    <row r="91" spans="1:18" x14ac:dyDescent="0.3">
      <c r="A91" s="68">
        <v>-0.4</v>
      </c>
      <c r="B91" s="8">
        <v>0.10337606922984256</v>
      </c>
      <c r="C91" s="8">
        <v>0.12404836849838882</v>
      </c>
      <c r="D91" s="28"/>
      <c r="Q91" s="8"/>
      <c r="R91" s="8"/>
    </row>
    <row r="92" spans="1:18" x14ac:dyDescent="0.3">
      <c r="A92" s="68">
        <v>-0.3</v>
      </c>
      <c r="B92" s="8">
        <v>0.1002720655465119</v>
      </c>
      <c r="C92" s="8">
        <v>0.12035306195451886</v>
      </c>
      <c r="D92" s="28"/>
      <c r="Q92" s="8"/>
      <c r="R92" s="8"/>
    </row>
    <row r="93" spans="1:18" x14ac:dyDescent="0.3">
      <c r="A93" s="68">
        <v>-0.2</v>
      </c>
      <c r="B93" s="8">
        <v>9.7174730390620898E-2</v>
      </c>
      <c r="C93" s="8">
        <v>0.11665775541064891</v>
      </c>
      <c r="D93" s="28"/>
      <c r="Q93" s="8"/>
      <c r="R93" s="8"/>
    </row>
    <row r="94" spans="1:18" x14ac:dyDescent="0.3">
      <c r="A94" s="68">
        <v>-0.1</v>
      </c>
      <c r="B94" s="8">
        <v>9.4084722362298881E-2</v>
      </c>
      <c r="C94" s="8">
        <v>0.11296244886677893</v>
      </c>
      <c r="D94" s="28"/>
      <c r="Q94" s="8"/>
      <c r="R94" s="8"/>
    </row>
    <row r="95" spans="1:18" x14ac:dyDescent="0.3">
      <c r="A95" s="68">
        <v>0</v>
      </c>
      <c r="B95" s="8">
        <v>9.1002787844477462E-2</v>
      </c>
      <c r="C95" s="8">
        <v>0.10926714232290896</v>
      </c>
      <c r="D95" s="28"/>
      <c r="Q95" s="8"/>
      <c r="R95" s="8"/>
    </row>
    <row r="96" spans="1:18" x14ac:dyDescent="0.3">
      <c r="A96" s="68">
        <v>0.1</v>
      </c>
      <c r="B96" s="8">
        <v>8.7929775769748239E-2</v>
      </c>
      <c r="C96" s="8">
        <v>0.10557183577903899</v>
      </c>
      <c r="D96" s="28"/>
      <c r="Q96" s="8"/>
      <c r="R96" s="8"/>
    </row>
    <row r="97" spans="1:18" x14ac:dyDescent="0.3">
      <c r="A97" s="68">
        <v>0.2</v>
      </c>
      <c r="B97" s="8">
        <v>8.4866655385637438E-2</v>
      </c>
      <c r="C97" s="8">
        <v>0.10187652923516903</v>
      </c>
      <c r="D97" s="28"/>
      <c r="Q97" s="8"/>
      <c r="R97" s="8"/>
    </row>
    <row r="98" spans="1:18" x14ac:dyDescent="0.3">
      <c r="A98" s="68">
        <v>0.3</v>
      </c>
      <c r="B98" s="8">
        <v>8.1814537728609082E-2</v>
      </c>
      <c r="C98" s="8">
        <v>9.8181222691299044E-2</v>
      </c>
      <c r="D98" s="28"/>
      <c r="Q98" s="8"/>
      <c r="R98" s="8"/>
    </row>
    <row r="99" spans="1:18" x14ac:dyDescent="0.3">
      <c r="A99" s="68">
        <v>0.4</v>
      </c>
      <c r="B99" s="8">
        <v>7.8774701707607683E-2</v>
      </c>
      <c r="C99" s="8">
        <v>9.4485916147429086E-2</v>
      </c>
      <c r="D99" s="28"/>
      <c r="Q99" s="8"/>
      <c r="R99" s="8"/>
    </row>
    <row r="100" spans="1:18" x14ac:dyDescent="0.3">
      <c r="A100" s="68">
        <v>0.5</v>
      </c>
      <c r="B100" s="8">
        <v>7.5748625944463535E-2</v>
      </c>
      <c r="C100" s="8">
        <v>9.0790609603559114E-2</v>
      </c>
      <c r="D100" s="28"/>
      <c r="Q100" s="8"/>
      <c r="R100" s="8"/>
    </row>
    <row r="101" spans="1:18" x14ac:dyDescent="0.3">
      <c r="A101" s="68">
        <v>0.6</v>
      </c>
      <c r="B101" s="8">
        <v>7.2738027838270755E-2</v>
      </c>
      <c r="C101" s="8">
        <v>8.7095303059689141E-2</v>
      </c>
      <c r="D101" s="28"/>
      <c r="Q101" s="8"/>
      <c r="R101" s="8"/>
    </row>
    <row r="102" spans="1:18" x14ac:dyDescent="0.3">
      <c r="A102" s="68">
        <v>0.7</v>
      </c>
      <c r="B102" s="8">
        <v>6.9744911736290577E-2</v>
      </c>
      <c r="C102" s="8">
        <v>8.3399996515819169E-2</v>
      </c>
      <c r="D102" s="28"/>
      <c r="Q102" s="8"/>
      <c r="R102" s="8"/>
    </row>
    <row r="103" spans="1:18" x14ac:dyDescent="0.3">
      <c r="A103" s="68">
        <v>0.8</v>
      </c>
      <c r="B103" s="8">
        <v>6.6771628633574526E-2</v>
      </c>
      <c r="C103" s="8">
        <v>7.9704689971949197E-2</v>
      </c>
      <c r="D103" s="28"/>
      <c r="Q103" s="8"/>
      <c r="R103" s="8"/>
    </row>
    <row r="104" spans="1:18" x14ac:dyDescent="0.3">
      <c r="A104" s="68">
        <v>0.9</v>
      </c>
      <c r="B104" s="8">
        <v>6.3820950522787814E-2</v>
      </c>
      <c r="C104" s="8">
        <v>7.6009383428079225E-2</v>
      </c>
      <c r="D104" s="28"/>
      <c r="Q104" s="8"/>
      <c r="R104" s="8"/>
    </row>
    <row r="105" spans="1:18" x14ac:dyDescent="0.3">
      <c r="A105" s="68">
        <v>1</v>
      </c>
      <c r="B105" s="8">
        <v>6.0896163416584659E-2</v>
      </c>
      <c r="C105" s="8">
        <v>7.2314076884209252E-2</v>
      </c>
      <c r="D105" s="28"/>
      <c r="Q105" s="8"/>
      <c r="R105" s="8"/>
    </row>
    <row r="106" spans="1:18" x14ac:dyDescent="0.3">
      <c r="A106" s="68">
        <v>1.1000000000000001</v>
      </c>
      <c r="B106" s="8">
        <v>5.8001184212580971E-2</v>
      </c>
      <c r="C106" s="8">
        <v>6.861877034033928E-2</v>
      </c>
      <c r="D106" s="28"/>
      <c r="Q106" s="8"/>
      <c r="R106" s="8"/>
    </row>
    <row r="107" spans="1:18" x14ac:dyDescent="0.3">
      <c r="A107" s="68">
        <v>1.2</v>
      </c>
      <c r="B107" s="8">
        <v>5.5140708004515454E-2</v>
      </c>
      <c r="C107" s="8">
        <v>6.4923463796469322E-2</v>
      </c>
      <c r="D107" s="28"/>
      <c r="Q107" s="8"/>
      <c r="R107" s="8"/>
    </row>
    <row r="108" spans="1:18" x14ac:dyDescent="0.3">
      <c r="A108" s="68">
        <v>1.3</v>
      </c>
      <c r="B108" s="8">
        <v>5.2320394172749037E-2</v>
      </c>
      <c r="C108" s="8">
        <v>6.1228157252599343E-2</v>
      </c>
      <c r="D108" s="28"/>
      <c r="Q108" s="8"/>
      <c r="R108" s="8"/>
    </row>
    <row r="109" spans="1:18" x14ac:dyDescent="0.3">
      <c r="A109" s="68">
        <v>1.4</v>
      </c>
      <c r="B109" s="8">
        <v>4.954710154509083E-2</v>
      </c>
      <c r="C109" s="8">
        <v>5.753285070872937E-2</v>
      </c>
      <c r="D109" s="28"/>
      <c r="Q109" s="8"/>
      <c r="R109" s="8"/>
    </row>
    <row r="110" spans="1:18" x14ac:dyDescent="0.3">
      <c r="A110" s="68">
        <v>1.5</v>
      </c>
      <c r="B110" s="8">
        <v>4.6829184859683036E-2</v>
      </c>
      <c r="C110" s="8">
        <v>5.3837544164859391E-2</v>
      </c>
      <c r="D110" s="28"/>
      <c r="Q110" s="8"/>
      <c r="R110" s="8"/>
    </row>
    <row r="111" spans="1:18" x14ac:dyDescent="0.3">
      <c r="A111" s="68">
        <v>1.6</v>
      </c>
      <c r="B111" s="8">
        <v>4.4176866069248324E-2</v>
      </c>
      <c r="C111" s="8">
        <v>5.0142237620989433E-2</v>
      </c>
      <c r="D111" s="28"/>
      <c r="Q111" s="8"/>
      <c r="R111" s="8"/>
    </row>
    <row r="112" spans="1:18" x14ac:dyDescent="0.3">
      <c r="A112" s="68">
        <v>1.7</v>
      </c>
      <c r="B112" s="8">
        <v>4.1602693359365055E-2</v>
      </c>
      <c r="C112" s="8">
        <v>4.644693107711946E-2</v>
      </c>
      <c r="D112" s="28"/>
      <c r="Q112" s="8"/>
      <c r="R112" s="8"/>
    </row>
    <row r="113" spans="1:18" x14ac:dyDescent="0.3">
      <c r="A113" s="68">
        <v>1.8</v>
      </c>
      <c r="B113" s="8">
        <v>3.9122095442109463E-2</v>
      </c>
      <c r="C113" s="8">
        <v>4.2751624533249474E-2</v>
      </c>
      <c r="D113" s="28"/>
      <c r="Q113" s="8"/>
      <c r="R113" s="8"/>
    </row>
    <row r="114" spans="1:18" x14ac:dyDescent="0.3">
      <c r="A114" s="68">
        <v>1.9</v>
      </c>
      <c r="B114" s="8">
        <v>3.6754023817601331E-2</v>
      </c>
      <c r="C114" s="8">
        <v>3.9056317989379516E-2</v>
      </c>
      <c r="D114" s="28"/>
      <c r="Q114" s="8"/>
      <c r="R114" s="8"/>
    </row>
    <row r="115" spans="1:18" x14ac:dyDescent="0.3">
      <c r="A115" s="68">
        <v>2</v>
      </c>
      <c r="B115" s="8">
        <v>3.4521643062913478E-2</v>
      </c>
      <c r="C115" s="8">
        <v>3.5361011445509544E-2</v>
      </c>
      <c r="D115" s="28"/>
      <c r="Q115" s="8"/>
      <c r="R115" s="8"/>
    </row>
    <row r="116" spans="1:18" x14ac:dyDescent="0.3">
      <c r="A116" s="68">
        <v>2.1</v>
      </c>
      <c r="B116" s="8">
        <v>3.2452967055674686E-2</v>
      </c>
      <c r="C116" s="8">
        <v>3.1665704901639571E-2</v>
      </c>
      <c r="D116" s="28"/>
      <c r="Q116" s="8"/>
      <c r="R116" s="8"/>
    </row>
    <row r="117" spans="1:18" x14ac:dyDescent="0.3">
      <c r="A117" s="68">
        <v>2.2000000000000002</v>
      </c>
      <c r="B117" s="8">
        <v>3.058123541725111E-2</v>
      </c>
      <c r="C117" s="8">
        <v>2.7970398357769599E-2</v>
      </c>
      <c r="D117" s="28"/>
      <c r="Q117" s="8"/>
      <c r="R117" s="8"/>
    </row>
    <row r="118" spans="1:18" x14ac:dyDescent="0.3">
      <c r="A118" s="68">
        <v>2.2999999999999998</v>
      </c>
      <c r="B118" s="8">
        <v>2.8944680107907038E-2</v>
      </c>
      <c r="C118" s="8">
        <v>2.4275091813899613E-2</v>
      </c>
      <c r="D118" s="28"/>
      <c r="Q118" s="8"/>
      <c r="R118" s="8"/>
    </row>
    <row r="119" spans="1:18" x14ac:dyDescent="0.3">
      <c r="A119" s="68">
        <v>2.4</v>
      </c>
      <c r="B119" s="8">
        <v>2.7585190074166918E-2</v>
      </c>
      <c r="C119" s="8">
        <v>2.0579785270029682E-2</v>
      </c>
      <c r="D119" s="28"/>
      <c r="Q119" s="8"/>
      <c r="R119" s="8"/>
    </row>
    <row r="120" spans="1:18" x14ac:dyDescent="0.3">
      <c r="A120" s="68">
        <v>2.5</v>
      </c>
      <c r="B120" s="8">
        <v>2.6545368226526523E-2</v>
      </c>
      <c r="C120" s="8">
        <v>1.6884478726159696E-2</v>
      </c>
      <c r="D120" s="28"/>
      <c r="Q120" s="8"/>
      <c r="R120" s="8"/>
    </row>
    <row r="121" spans="1:18" x14ac:dyDescent="0.3">
      <c r="A121" s="68">
        <v>2.6</v>
      </c>
      <c r="B121" s="8">
        <v>2.5863798930377119E-2</v>
      </c>
      <c r="C121" s="8">
        <v>1.318917218228971E-2</v>
      </c>
      <c r="D121" s="28"/>
      <c r="Q121" s="8"/>
      <c r="R121" s="8"/>
    </row>
    <row r="122" spans="1:18" x14ac:dyDescent="0.3">
      <c r="A122" s="68">
        <v>2.7</v>
      </c>
      <c r="B122" s="8">
        <v>2.5569146914106472E-2</v>
      </c>
      <c r="C122" s="8">
        <v>9.4938656384197517E-3</v>
      </c>
      <c r="D122" s="28"/>
      <c r="Q122" s="8"/>
      <c r="R122" s="8"/>
    </row>
    <row r="123" spans="1:18" x14ac:dyDescent="0.3">
      <c r="A123" s="68">
        <v>2.8</v>
      </c>
      <c r="B123" s="8">
        <v>2.5674736818407123E-2</v>
      </c>
      <c r="C123" s="8">
        <v>5.7985590945497656E-3</v>
      </c>
      <c r="D123" s="28"/>
      <c r="Q123" s="8"/>
      <c r="R123" s="8"/>
    </row>
    <row r="124" spans="1:18" x14ac:dyDescent="0.3">
      <c r="A124" s="68">
        <v>2.9</v>
      </c>
      <c r="B124" s="8">
        <v>2.6175725499953048E-2</v>
      </c>
      <c r="C124" s="8">
        <v>2.1032525506798072E-3</v>
      </c>
      <c r="D124" s="28"/>
      <c r="Q124" s="8"/>
      <c r="R124" s="8"/>
    </row>
    <row r="125" spans="1:18" x14ac:dyDescent="0.3">
      <c r="A125" s="68">
        <v>3</v>
      </c>
      <c r="B125" s="8">
        <v>2.7050152646120748E-2</v>
      </c>
      <c r="C125" s="8">
        <v>-1.5920539931901789E-3</v>
      </c>
      <c r="D125" s="28"/>
      <c r="Q125" s="8"/>
      <c r="R125" s="8"/>
    </row>
    <row r="126" spans="1:18" x14ac:dyDescent="0.3">
      <c r="A126" s="68"/>
      <c r="D126" s="28"/>
      <c r="Q126" s="8"/>
      <c r="R126" s="8"/>
    </row>
    <row r="127" spans="1:18" x14ac:dyDescent="0.3">
      <c r="A127" s="144" t="s">
        <v>159</v>
      </c>
      <c r="B127" s="70">
        <f>SMALL(B80:B125, 1)</f>
        <v>2.5569146914106472E-2</v>
      </c>
      <c r="C127" s="71"/>
      <c r="D127" s="70">
        <f>B74</f>
        <v>8.6184502815443986E-3</v>
      </c>
      <c r="Q127" s="8"/>
      <c r="R127" s="8"/>
    </row>
    <row r="128" spans="1:18" x14ac:dyDescent="0.3">
      <c r="A128" s="144"/>
      <c r="B128" s="71"/>
      <c r="C128" s="71"/>
      <c r="D128" s="71"/>
      <c r="Q128" s="8"/>
      <c r="R128" s="8"/>
    </row>
    <row r="129" spans="1:18" x14ac:dyDescent="0.3">
      <c r="A129" s="144"/>
      <c r="B129" s="71"/>
      <c r="C129" s="71"/>
      <c r="D129" s="71"/>
      <c r="Q129" s="8"/>
      <c r="R129" s="8"/>
    </row>
    <row r="130" spans="1:18" x14ac:dyDescent="0.3">
      <c r="A130" s="68"/>
      <c r="Q130" s="8"/>
      <c r="R130" s="8"/>
    </row>
    <row r="131" spans="1:18" x14ac:dyDescent="0.3">
      <c r="Q131" s="8"/>
      <c r="R131" s="8"/>
    </row>
    <row r="132" spans="1:18" x14ac:dyDescent="0.3">
      <c r="B132" t="s">
        <v>71</v>
      </c>
      <c r="C132" t="s">
        <v>119</v>
      </c>
      <c r="Q132" s="8"/>
      <c r="R132" s="8"/>
    </row>
    <row r="133" spans="1:18" x14ac:dyDescent="0.3">
      <c r="B133" s="24"/>
      <c r="C133" s="24"/>
      <c r="D133" s="28"/>
      <c r="Q133" s="8"/>
      <c r="R133" s="8"/>
    </row>
    <row r="134" spans="1:18" x14ac:dyDescent="0.3">
      <c r="B134" s="8">
        <v>0.13783074867645556</v>
      </c>
      <c r="C134" s="8">
        <v>0.16469674048095856</v>
      </c>
      <c r="D134" s="28"/>
      <c r="Q134" s="8"/>
      <c r="R134" s="8"/>
    </row>
    <row r="135" spans="1:18" x14ac:dyDescent="0.3">
      <c r="B135" s="8">
        <v>0.13468098782878291</v>
      </c>
      <c r="C135" s="8">
        <v>0.16100143393708857</v>
      </c>
      <c r="D135" s="28"/>
      <c r="Q135" s="8"/>
      <c r="R135" s="8"/>
    </row>
    <row r="136" spans="1:18" x14ac:dyDescent="0.3">
      <c r="B136" s="8">
        <v>0.13153397790052729</v>
      </c>
      <c r="C136" s="8">
        <v>0.15730612739321859</v>
      </c>
      <c r="D136" s="28"/>
      <c r="Q136" s="8"/>
      <c r="R136" s="8"/>
    </row>
    <row r="137" spans="1:18" x14ac:dyDescent="0.3">
      <c r="B137" s="8">
        <v>0.12838992117807047</v>
      </c>
      <c r="C137" s="8">
        <v>0.15361082084934863</v>
      </c>
      <c r="D137" s="28"/>
      <c r="Q137" s="8"/>
      <c r="R137" s="8"/>
    </row>
    <row r="138" spans="1:18" x14ac:dyDescent="0.3">
      <c r="B138" s="8">
        <v>0.1252490400596388</v>
      </c>
      <c r="C138" s="8">
        <v>0.14991551430547867</v>
      </c>
      <c r="D138" s="28"/>
      <c r="Q138" s="8"/>
      <c r="R138" s="8"/>
    </row>
    <row r="139" spans="1:18" x14ac:dyDescent="0.3">
      <c r="B139" s="8">
        <v>0.12211157958844844</v>
      </c>
      <c r="C139" s="8">
        <v>0.14622020776160866</v>
      </c>
      <c r="D139" s="28"/>
      <c r="Q139" s="8"/>
      <c r="R139" s="8"/>
    </row>
    <row r="140" spans="1:18" x14ac:dyDescent="0.3">
      <c r="B140" s="8">
        <v>0.11897781037355686</v>
      </c>
      <c r="C140" s="8">
        <v>0.14252490121773867</v>
      </c>
      <c r="D140" s="28"/>
      <c r="Q140" s="8"/>
      <c r="R140" s="8"/>
    </row>
    <row r="141" spans="1:18" x14ac:dyDescent="0.3">
      <c r="B141" s="8">
        <v>0.1158480319684424</v>
      </c>
      <c r="C141" s="8">
        <v>0.13882959467386868</v>
      </c>
      <c r="D141" s="28"/>
      <c r="Q141" s="8"/>
      <c r="R141" s="8"/>
    </row>
    <row r="142" spans="1:18" x14ac:dyDescent="0.3">
      <c r="B142" s="8">
        <v>0.11272257679192561</v>
      </c>
      <c r="C142" s="8">
        <v>0.1351342881299987</v>
      </c>
      <c r="D142" s="28"/>
      <c r="Q142" s="8"/>
      <c r="R142" s="8"/>
    </row>
    <row r="143" spans="1:18" x14ac:dyDescent="0.3">
      <c r="B143" s="8">
        <v>0.10960181469408707</v>
      </c>
      <c r="C143" s="8">
        <v>0.13143898158612874</v>
      </c>
      <c r="D143" s="28"/>
      <c r="Q143" s="8"/>
      <c r="R143" s="8"/>
    </row>
    <row r="144" spans="1:18" x14ac:dyDescent="0.3">
      <c r="B144" s="8">
        <v>0.10648615829222852</v>
      </c>
      <c r="C144" s="8">
        <v>0.12774367504225881</v>
      </c>
      <c r="D144" s="28"/>
      <c r="Q144" s="8"/>
      <c r="R144" s="8"/>
    </row>
    <row r="145" spans="2:18" x14ac:dyDescent="0.3">
      <c r="B145" s="8">
        <v>0.10337606922984256</v>
      </c>
      <c r="C145" s="8">
        <v>0.12404836849838882</v>
      </c>
      <c r="D145" s="28"/>
      <c r="Q145" s="8"/>
      <c r="R145" s="8"/>
    </row>
    <row r="146" spans="2:18" x14ac:dyDescent="0.3">
      <c r="B146" s="8">
        <v>0.1002720655465119</v>
      </c>
      <c r="C146" s="8">
        <v>0.12035306195451886</v>
      </c>
      <c r="D146" s="28"/>
      <c r="Q146" s="8"/>
      <c r="R146" s="8"/>
    </row>
    <row r="147" spans="2:18" x14ac:dyDescent="0.3">
      <c r="B147" s="8">
        <v>9.7174730390620898E-2</v>
      </c>
      <c r="C147" s="8">
        <v>0.11665775541064891</v>
      </c>
      <c r="D147" s="28"/>
      <c r="Q147" s="8"/>
      <c r="R147" s="8"/>
    </row>
    <row r="148" spans="2:18" x14ac:dyDescent="0.3">
      <c r="B148" s="8">
        <v>9.4084722362298881E-2</v>
      </c>
      <c r="C148" s="8">
        <v>0.11296244886677893</v>
      </c>
      <c r="D148" s="28"/>
      <c r="Q148" s="8"/>
      <c r="R148" s="8"/>
    </row>
    <row r="149" spans="2:18" x14ac:dyDescent="0.3">
      <c r="B149" s="8">
        <v>9.1002787844477462E-2</v>
      </c>
      <c r="C149" s="8">
        <v>0.10926714232290896</v>
      </c>
      <c r="D149" s="28"/>
      <c r="Q149" s="8"/>
      <c r="R149" s="8"/>
    </row>
    <row r="150" spans="2:18" x14ac:dyDescent="0.3">
      <c r="B150" s="8">
        <v>8.7929775769748239E-2</v>
      </c>
      <c r="C150" s="8">
        <v>0.10557183577903899</v>
      </c>
      <c r="D150" s="28"/>
      <c r="Q150" s="8"/>
      <c r="R150" s="8"/>
    </row>
    <row r="151" spans="2:18" x14ac:dyDescent="0.3">
      <c r="B151" s="8">
        <v>8.4866655385637438E-2</v>
      </c>
      <c r="C151" s="8">
        <v>0.10187652923516903</v>
      </c>
      <c r="D151" s="28"/>
      <c r="Q151" s="8"/>
      <c r="R151" s="8"/>
    </row>
    <row r="152" spans="2:18" x14ac:dyDescent="0.3">
      <c r="B152" s="8">
        <v>8.1814537728609082E-2</v>
      </c>
      <c r="C152" s="8">
        <v>9.8181222691299044E-2</v>
      </c>
      <c r="D152" s="28"/>
      <c r="Q152" s="8"/>
      <c r="R152" s="8"/>
    </row>
    <row r="153" spans="2:18" x14ac:dyDescent="0.3">
      <c r="B153" s="8">
        <v>7.8774701707607683E-2</v>
      </c>
      <c r="C153" s="8">
        <v>9.4485916147429086E-2</v>
      </c>
      <c r="D153" s="28"/>
      <c r="Q153" s="8"/>
      <c r="R153" s="8"/>
    </row>
    <row r="154" spans="2:18" x14ac:dyDescent="0.3">
      <c r="B154" s="8">
        <v>7.5748625944463535E-2</v>
      </c>
      <c r="C154" s="8">
        <v>9.0790609603559114E-2</v>
      </c>
      <c r="D154" s="28"/>
      <c r="Q154" s="8"/>
      <c r="R154" s="8"/>
    </row>
    <row r="155" spans="2:18" x14ac:dyDescent="0.3">
      <c r="B155" s="8">
        <v>7.2738027838270755E-2</v>
      </c>
      <c r="C155" s="8">
        <v>8.7095303059689141E-2</v>
      </c>
      <c r="D155" s="28"/>
      <c r="Q155" s="8"/>
      <c r="R155" s="8"/>
    </row>
    <row r="156" spans="2:18" x14ac:dyDescent="0.3">
      <c r="B156" s="8">
        <v>6.9744911736290577E-2</v>
      </c>
      <c r="C156" s="8">
        <v>8.3399996515819169E-2</v>
      </c>
      <c r="D156" s="28"/>
      <c r="Q156" s="8"/>
      <c r="R156" s="8"/>
    </row>
    <row r="157" spans="2:18" x14ac:dyDescent="0.3">
      <c r="B157" s="8">
        <v>6.6771628633574526E-2</v>
      </c>
      <c r="C157" s="8">
        <v>7.9704689971949197E-2</v>
      </c>
      <c r="D157" s="28"/>
      <c r="Q157" s="8"/>
      <c r="R157" s="8"/>
    </row>
    <row r="158" spans="2:18" x14ac:dyDescent="0.3">
      <c r="B158" s="8">
        <v>6.3820950522787814E-2</v>
      </c>
      <c r="C158" s="8">
        <v>7.6009383428079225E-2</v>
      </c>
      <c r="D158" s="28"/>
      <c r="Q158" s="8"/>
      <c r="R158" s="8"/>
    </row>
    <row r="159" spans="2:18" x14ac:dyDescent="0.3">
      <c r="B159" s="8">
        <v>6.0896163416584659E-2</v>
      </c>
      <c r="C159" s="8">
        <v>7.2314076884209252E-2</v>
      </c>
      <c r="D159" s="28"/>
      <c r="Q159" s="8"/>
      <c r="R159" s="8"/>
    </row>
    <row r="160" spans="2:18" x14ac:dyDescent="0.3">
      <c r="B160" s="8">
        <v>5.8001184212580971E-2</v>
      </c>
      <c r="C160" s="8">
        <v>6.861877034033928E-2</v>
      </c>
      <c r="D160" s="28"/>
      <c r="Q160" s="8"/>
      <c r="R160" s="8"/>
    </row>
    <row r="161" spans="2:4" x14ac:dyDescent="0.3">
      <c r="B161" s="8">
        <v>5.5140708004515454E-2</v>
      </c>
      <c r="C161" s="8">
        <v>6.4923463796469322E-2</v>
      </c>
      <c r="D161" s="28"/>
    </row>
    <row r="162" spans="2:4" x14ac:dyDescent="0.3">
      <c r="B162" s="8">
        <v>5.2320394172749037E-2</v>
      </c>
      <c r="C162" s="8">
        <v>6.1228157252599343E-2</v>
      </c>
      <c r="D162" s="28"/>
    </row>
    <row r="163" spans="2:4" x14ac:dyDescent="0.3">
      <c r="B163" s="8">
        <v>4.954710154509083E-2</v>
      </c>
      <c r="C163" s="8">
        <v>5.753285070872937E-2</v>
      </c>
      <c r="D163" s="28"/>
    </row>
    <row r="164" spans="2:4" x14ac:dyDescent="0.3">
      <c r="B164" s="8">
        <v>4.6829184859683036E-2</v>
      </c>
      <c r="C164" s="8">
        <v>5.3837544164859391E-2</v>
      </c>
      <c r="D164" s="28"/>
    </row>
    <row r="165" spans="2:4" x14ac:dyDescent="0.3">
      <c r="B165" s="8">
        <v>4.4176866069248324E-2</v>
      </c>
      <c r="C165" s="8">
        <v>5.0142237620989433E-2</v>
      </c>
      <c r="D165" s="28"/>
    </row>
    <row r="166" spans="2:4" x14ac:dyDescent="0.3">
      <c r="B166" s="8">
        <v>4.1602693359365055E-2</v>
      </c>
      <c r="C166" s="8">
        <v>4.644693107711946E-2</v>
      </c>
      <c r="D166" s="28"/>
    </row>
    <row r="167" spans="2:4" x14ac:dyDescent="0.3">
      <c r="B167" s="8">
        <v>3.9122095442109463E-2</v>
      </c>
      <c r="C167" s="8">
        <v>4.2751624533249474E-2</v>
      </c>
      <c r="D167" s="28"/>
    </row>
    <row r="168" spans="2:4" x14ac:dyDescent="0.3">
      <c r="B168" s="8">
        <v>3.6754023817601331E-2</v>
      </c>
      <c r="C168" s="8">
        <v>3.9056317989379516E-2</v>
      </c>
      <c r="D168" s="28"/>
    </row>
    <row r="169" spans="2:4" x14ac:dyDescent="0.3">
      <c r="B169" s="8">
        <v>3.4521643062913478E-2</v>
      </c>
      <c r="C169" s="8">
        <v>3.5361011445509544E-2</v>
      </c>
      <c r="D169" s="28"/>
    </row>
    <row r="170" spans="2:4" x14ac:dyDescent="0.3">
      <c r="B170" s="8">
        <v>3.2452967055674686E-2</v>
      </c>
      <c r="C170" s="8">
        <v>3.1665704901639571E-2</v>
      </c>
      <c r="D170" s="28"/>
    </row>
    <row r="171" spans="2:4" x14ac:dyDescent="0.3">
      <c r="B171" s="8">
        <v>3.058123541725111E-2</v>
      </c>
      <c r="C171" s="8">
        <v>2.7970398357769599E-2</v>
      </c>
      <c r="D171" s="28"/>
    </row>
    <row r="172" spans="2:4" x14ac:dyDescent="0.3">
      <c r="B172" s="8">
        <v>2.8944680107907038E-2</v>
      </c>
      <c r="C172" s="8">
        <v>2.4275091813899613E-2</v>
      </c>
      <c r="D172" s="28"/>
    </row>
    <row r="173" spans="2:4" x14ac:dyDescent="0.3">
      <c r="B173" s="8">
        <v>2.7585190074166918E-2</v>
      </c>
      <c r="C173" s="8">
        <v>2.0579785270029682E-2</v>
      </c>
      <c r="D173" s="28"/>
    </row>
    <row r="174" spans="2:4" x14ac:dyDescent="0.3">
      <c r="B174" s="8">
        <v>2.6545368226526523E-2</v>
      </c>
      <c r="C174" s="8">
        <v>1.6884478726159696E-2</v>
      </c>
      <c r="D174" s="28"/>
    </row>
    <row r="175" spans="2:4" x14ac:dyDescent="0.3">
      <c r="B175" s="8">
        <v>2.5863798930377119E-2</v>
      </c>
      <c r="C175" s="8">
        <v>1.318917218228971E-2</v>
      </c>
      <c r="D175" s="28"/>
    </row>
    <row r="176" spans="2:4" x14ac:dyDescent="0.3">
      <c r="B176" s="8">
        <v>2.5569146914106472E-2</v>
      </c>
      <c r="C176" s="8">
        <v>9.4938656384197517E-3</v>
      </c>
      <c r="D176" s="28"/>
    </row>
    <row r="177" spans="2:5" x14ac:dyDescent="0.3">
      <c r="B177" s="70">
        <f>B127</f>
        <v>2.5569146914106472E-2</v>
      </c>
      <c r="C177" s="70">
        <f>D127</f>
        <v>8.6184502815443986E-3</v>
      </c>
      <c r="D177" s="28"/>
    </row>
    <row r="178" spans="2:5" x14ac:dyDescent="0.3">
      <c r="B178" s="8">
        <v>2.5674736818407123E-2</v>
      </c>
      <c r="C178" s="8"/>
      <c r="D178" s="8">
        <v>5.7985590945497656E-3</v>
      </c>
    </row>
    <row r="179" spans="2:5" x14ac:dyDescent="0.3">
      <c r="B179" s="8">
        <v>2.6175725499953048E-2</v>
      </c>
      <c r="C179" s="8"/>
      <c r="D179" s="8">
        <v>2.1032525506798072E-3</v>
      </c>
    </row>
    <row r="180" spans="2:5" x14ac:dyDescent="0.3">
      <c r="B180" s="8">
        <v>2.7050152646120748E-2</v>
      </c>
      <c r="C180" s="8"/>
      <c r="D180" s="8">
        <v>-1.5920539931901789E-3</v>
      </c>
    </row>
    <row r="181" spans="2:5" x14ac:dyDescent="0.3">
      <c r="D181" s="28"/>
    </row>
    <row r="182" spans="2:5" x14ac:dyDescent="0.3">
      <c r="B182" s="8"/>
      <c r="C182" s="8"/>
      <c r="E182" s="8"/>
    </row>
    <row r="183" spans="2:5" x14ac:dyDescent="0.3">
      <c r="B183" s="8"/>
      <c r="C183" s="8"/>
      <c r="E183" s="8"/>
    </row>
    <row r="184" spans="2:5" x14ac:dyDescent="0.3">
      <c r="B184" s="8"/>
      <c r="C184" s="8"/>
      <c r="E184" s="8"/>
    </row>
    <row r="185" spans="2:5" x14ac:dyDescent="0.3">
      <c r="B185" s="8"/>
      <c r="C185" s="8"/>
      <c r="E185" s="8"/>
    </row>
    <row r="186" spans="2:5" x14ac:dyDescent="0.3">
      <c r="B186" s="8"/>
      <c r="C186" s="8"/>
      <c r="E186" s="8"/>
    </row>
    <row r="187" spans="2:5" x14ac:dyDescent="0.3">
      <c r="B187" s="8"/>
      <c r="C187" s="8"/>
      <c r="E187" s="8"/>
    </row>
    <row r="188" spans="2:5" x14ac:dyDescent="0.3">
      <c r="B188" s="8"/>
      <c r="C188" s="8"/>
      <c r="E188" s="8"/>
    </row>
    <row r="189" spans="2:5" x14ac:dyDescent="0.3">
      <c r="B189" s="8"/>
      <c r="C189" s="8"/>
      <c r="E189" s="8"/>
    </row>
    <row r="190" spans="2:5" x14ac:dyDescent="0.3">
      <c r="B190" s="8"/>
      <c r="C190" s="8"/>
      <c r="E190" s="8"/>
    </row>
    <row r="191" spans="2:5" x14ac:dyDescent="0.3">
      <c r="B191" s="8"/>
      <c r="C191" s="8"/>
      <c r="E191" s="8"/>
    </row>
    <row r="192" spans="2:5" x14ac:dyDescent="0.3">
      <c r="B192" s="8"/>
      <c r="C192" s="8"/>
      <c r="E192" s="8"/>
    </row>
    <row r="193" spans="2:5" x14ac:dyDescent="0.3">
      <c r="B193" s="8"/>
      <c r="C193" s="8"/>
      <c r="E193" s="8"/>
    </row>
    <row r="194" spans="2:5" x14ac:dyDescent="0.3">
      <c r="B194" s="8"/>
      <c r="C194" s="8"/>
      <c r="E194" s="8"/>
    </row>
    <row r="195" spans="2:5" x14ac:dyDescent="0.3">
      <c r="B195" s="8"/>
      <c r="C195" s="8"/>
      <c r="E195" s="8"/>
    </row>
    <row r="196" spans="2:5" x14ac:dyDescent="0.3">
      <c r="B196" s="8"/>
      <c r="C196" s="8"/>
      <c r="E196" s="8"/>
    </row>
    <row r="197" spans="2:5" x14ac:dyDescent="0.3">
      <c r="B197" s="8"/>
      <c r="C197" s="8"/>
      <c r="E197" s="8"/>
    </row>
    <row r="198" spans="2:5" x14ac:dyDescent="0.3">
      <c r="B198" s="8"/>
      <c r="C198" s="8"/>
      <c r="E198" s="8"/>
    </row>
    <row r="199" spans="2:5" x14ac:dyDescent="0.3">
      <c r="B199" s="8"/>
      <c r="C199" s="8"/>
      <c r="E199" s="8"/>
    </row>
    <row r="200" spans="2:5" x14ac:dyDescent="0.3">
      <c r="B200" s="8"/>
      <c r="C200" s="8"/>
      <c r="E200" s="8"/>
    </row>
    <row r="201" spans="2:5" x14ac:dyDescent="0.3">
      <c r="B201" s="8"/>
      <c r="C201" s="8"/>
      <c r="E201" s="8"/>
    </row>
    <row r="202" spans="2:5" x14ac:dyDescent="0.3">
      <c r="B202" s="8"/>
      <c r="C202" s="8"/>
      <c r="E202" s="8"/>
    </row>
    <row r="203" spans="2:5" x14ac:dyDescent="0.3">
      <c r="B203" s="8"/>
      <c r="C203" s="8"/>
      <c r="E203" s="8"/>
    </row>
    <row r="204" spans="2:5" x14ac:dyDescent="0.3">
      <c r="B204" s="8"/>
      <c r="C204" s="8"/>
      <c r="E204" s="8"/>
    </row>
    <row r="205" spans="2:5" x14ac:dyDescent="0.3">
      <c r="B205" s="8"/>
      <c r="C205" s="8"/>
      <c r="E205" s="8"/>
    </row>
    <row r="206" spans="2:5" x14ac:dyDescent="0.3">
      <c r="B206" s="8"/>
      <c r="C206" s="8"/>
      <c r="E206" s="8"/>
    </row>
    <row r="207" spans="2:5" x14ac:dyDescent="0.3">
      <c r="B207" s="8"/>
      <c r="C207" s="8"/>
      <c r="E207" s="8"/>
    </row>
    <row r="208" spans="2:5" x14ac:dyDescent="0.3">
      <c r="B208" s="8"/>
      <c r="C208" s="8"/>
      <c r="E208" s="8"/>
    </row>
    <row r="209" spans="2:5" x14ac:dyDescent="0.3">
      <c r="B209" s="8"/>
      <c r="C209" s="8"/>
      <c r="E209" s="8"/>
    </row>
    <row r="210" spans="2:5" x14ac:dyDescent="0.3">
      <c r="B210" s="8"/>
      <c r="C210" s="8"/>
      <c r="E210" s="8"/>
    </row>
    <row r="211" spans="2:5" x14ac:dyDescent="0.3">
      <c r="B211" s="8"/>
      <c r="C211" s="8"/>
      <c r="E211" s="8"/>
    </row>
    <row r="212" spans="2:5" x14ac:dyDescent="0.3">
      <c r="B212" s="8"/>
      <c r="C212" s="8"/>
      <c r="E212" s="8"/>
    </row>
    <row r="213" spans="2:5" x14ac:dyDescent="0.3">
      <c r="B213" s="8"/>
      <c r="C213" s="8"/>
      <c r="E213" s="8"/>
    </row>
    <row r="214" spans="2:5" x14ac:dyDescent="0.3">
      <c r="B214" s="8"/>
      <c r="C214" s="8"/>
      <c r="E214" s="8"/>
    </row>
    <row r="215" spans="2:5" x14ac:dyDescent="0.3">
      <c r="B215" s="8"/>
      <c r="C215" s="8"/>
      <c r="E215" s="8"/>
    </row>
    <row r="216" spans="2:5" x14ac:dyDescent="0.3">
      <c r="B216" s="8"/>
      <c r="C216" s="8"/>
      <c r="E216" s="8"/>
    </row>
    <row r="217" spans="2:5" x14ac:dyDescent="0.3">
      <c r="B217" s="8"/>
      <c r="C217" s="8"/>
      <c r="E217" s="8"/>
    </row>
    <row r="218" spans="2:5" x14ac:dyDescent="0.3">
      <c r="B218" s="8"/>
      <c r="C218" s="8"/>
      <c r="E218" s="8"/>
    </row>
    <row r="219" spans="2:5" x14ac:dyDescent="0.3">
      <c r="B219" s="8"/>
      <c r="C219" s="8"/>
      <c r="E219" s="8"/>
    </row>
    <row r="220" spans="2:5" x14ac:dyDescent="0.3">
      <c r="B220" s="8"/>
      <c r="C220" s="8"/>
      <c r="E220" s="8"/>
    </row>
    <row r="221" spans="2:5" x14ac:dyDescent="0.3">
      <c r="B221" s="8"/>
      <c r="C221" s="8"/>
      <c r="E221" s="8"/>
    </row>
    <row r="222" spans="2:5" x14ac:dyDescent="0.3">
      <c r="B222" s="8"/>
      <c r="C222" s="8"/>
      <c r="E222" s="8"/>
    </row>
    <row r="223" spans="2:5" x14ac:dyDescent="0.3">
      <c r="B223" s="8"/>
      <c r="C223" s="8"/>
      <c r="E223" s="8"/>
    </row>
    <row r="224" spans="2:5" x14ac:dyDescent="0.3">
      <c r="B224" s="8"/>
      <c r="C224" s="8"/>
      <c r="E224" s="8"/>
    </row>
    <row r="225" spans="2:5" x14ac:dyDescent="0.3">
      <c r="B225" s="8"/>
      <c r="C225" s="8"/>
      <c r="E225" s="8"/>
    </row>
    <row r="226" spans="2:5" x14ac:dyDescent="0.3">
      <c r="B226" s="8"/>
      <c r="C226" s="8"/>
      <c r="E226" s="8"/>
    </row>
    <row r="227" spans="2:5" x14ac:dyDescent="0.3">
      <c r="B227" s="8"/>
      <c r="C227" s="8"/>
      <c r="E227" s="8"/>
    </row>
    <row r="228" spans="2:5" x14ac:dyDescent="0.3">
      <c r="B228" s="8"/>
      <c r="C228" s="8"/>
      <c r="E228" s="8"/>
    </row>
    <row r="229" spans="2:5" x14ac:dyDescent="0.3">
      <c r="B229" s="8"/>
      <c r="C229" s="8"/>
      <c r="E229" s="8"/>
    </row>
    <row r="230" spans="2:5" x14ac:dyDescent="0.3">
      <c r="B230" s="8"/>
      <c r="C230" s="8"/>
      <c r="E230" s="8"/>
    </row>
    <row r="231" spans="2:5" x14ac:dyDescent="0.3">
      <c r="B231" s="8"/>
      <c r="C231" s="8"/>
      <c r="E231" s="8"/>
    </row>
    <row r="232" spans="2:5" x14ac:dyDescent="0.3">
      <c r="B232" s="8"/>
      <c r="C232" s="8"/>
      <c r="E232" s="8"/>
    </row>
    <row r="233" spans="2:5" x14ac:dyDescent="0.3">
      <c r="B233" s="8"/>
      <c r="C233" s="8"/>
      <c r="E233" s="8"/>
    </row>
    <row r="234" spans="2:5" x14ac:dyDescent="0.3">
      <c r="B234" s="8"/>
      <c r="C234" s="8"/>
      <c r="E234" s="8"/>
    </row>
    <row r="235" spans="2:5" x14ac:dyDescent="0.3">
      <c r="B235" s="8"/>
      <c r="C235" s="8"/>
      <c r="E235" s="8"/>
    </row>
    <row r="236" spans="2:5" x14ac:dyDescent="0.3">
      <c r="B236" s="8"/>
      <c r="C236" s="8"/>
      <c r="E236" s="8"/>
    </row>
    <row r="237" spans="2:5" x14ac:dyDescent="0.3">
      <c r="B237" s="8"/>
      <c r="C237" s="8"/>
      <c r="E237" s="8"/>
    </row>
    <row r="238" spans="2:5" x14ac:dyDescent="0.3">
      <c r="B238" s="8"/>
      <c r="C238" s="8"/>
      <c r="E238" s="8"/>
    </row>
    <row r="239" spans="2:5" x14ac:dyDescent="0.3">
      <c r="B239" s="8"/>
      <c r="C239" s="8"/>
      <c r="E239" s="8"/>
    </row>
    <row r="240" spans="2:5" x14ac:dyDescent="0.3">
      <c r="B240" s="8"/>
      <c r="C240" s="8"/>
      <c r="E240" s="8"/>
    </row>
    <row r="241" spans="2:5" x14ac:dyDescent="0.3">
      <c r="B241" s="8"/>
      <c r="C241" s="8"/>
      <c r="E241" s="8"/>
    </row>
    <row r="242" spans="2:5" x14ac:dyDescent="0.3">
      <c r="B242" s="8"/>
      <c r="C242" s="8"/>
      <c r="E242" s="8"/>
    </row>
    <row r="243" spans="2:5" x14ac:dyDescent="0.3">
      <c r="B243" s="8"/>
      <c r="C243" s="8"/>
      <c r="E243" s="8"/>
    </row>
    <row r="244" spans="2:5" x14ac:dyDescent="0.3">
      <c r="B244" s="8"/>
      <c r="C244" s="8"/>
      <c r="E244" s="8"/>
    </row>
    <row r="245" spans="2:5" x14ac:dyDescent="0.3">
      <c r="B245" s="8"/>
      <c r="C245" s="8"/>
      <c r="E245" s="8"/>
    </row>
    <row r="246" spans="2:5" x14ac:dyDescent="0.3">
      <c r="B246" s="8"/>
      <c r="C246" s="8"/>
      <c r="E246" s="8"/>
    </row>
    <row r="247" spans="2:5" x14ac:dyDescent="0.3">
      <c r="B247" s="8"/>
      <c r="C247" s="8"/>
      <c r="E247" s="8"/>
    </row>
    <row r="248" spans="2:5" x14ac:dyDescent="0.3">
      <c r="B248" s="8"/>
      <c r="C248" s="8"/>
      <c r="E248" s="8"/>
    </row>
    <row r="249" spans="2:5" x14ac:dyDescent="0.3">
      <c r="B249" s="8"/>
      <c r="C249" s="8"/>
      <c r="E249" s="8"/>
    </row>
    <row r="250" spans="2:5" x14ac:dyDescent="0.3">
      <c r="B250" s="8"/>
      <c r="C250" s="8"/>
      <c r="E250" s="8"/>
    </row>
    <row r="251" spans="2:5" x14ac:dyDescent="0.3">
      <c r="B251" s="8"/>
      <c r="C251" s="8"/>
      <c r="E251" s="8"/>
    </row>
    <row r="252" spans="2:5" x14ac:dyDescent="0.3">
      <c r="B252" s="8"/>
      <c r="C252" s="8"/>
      <c r="E252" s="8"/>
    </row>
    <row r="253" spans="2:5" x14ac:dyDescent="0.3">
      <c r="B253" s="8"/>
      <c r="C253" s="8"/>
      <c r="E253" s="8"/>
    </row>
    <row r="254" spans="2:5" x14ac:dyDescent="0.3">
      <c r="B254" s="8"/>
      <c r="C254" s="8"/>
      <c r="E254" s="8"/>
    </row>
    <row r="255" spans="2:5" x14ac:dyDescent="0.3">
      <c r="B255" s="8"/>
      <c r="C255" s="8"/>
      <c r="E255" s="8"/>
    </row>
    <row r="256" spans="2:5" x14ac:dyDescent="0.3">
      <c r="B256" s="8"/>
      <c r="C256" s="8"/>
      <c r="E256" s="8"/>
    </row>
    <row r="257" spans="2:5" x14ac:dyDescent="0.3">
      <c r="B257" s="8"/>
      <c r="C257" s="8"/>
      <c r="E257" s="8"/>
    </row>
    <row r="258" spans="2:5" x14ac:dyDescent="0.3">
      <c r="B258" s="8"/>
      <c r="C258" s="8"/>
      <c r="E258" s="8"/>
    </row>
    <row r="259" spans="2:5" x14ac:dyDescent="0.3">
      <c r="B259" s="8"/>
      <c r="C259" s="8"/>
      <c r="E259" s="8"/>
    </row>
    <row r="260" spans="2:5" x14ac:dyDescent="0.3">
      <c r="B260" s="8"/>
      <c r="C260" s="8"/>
      <c r="E260" s="8"/>
    </row>
    <row r="261" spans="2:5" x14ac:dyDescent="0.3">
      <c r="B261" s="8"/>
      <c r="C261" s="8"/>
      <c r="E261" s="8"/>
    </row>
    <row r="262" spans="2:5" x14ac:dyDescent="0.3">
      <c r="B262" s="8"/>
      <c r="C262" s="8"/>
      <c r="E262" s="8"/>
    </row>
    <row r="263" spans="2:5" x14ac:dyDescent="0.3">
      <c r="B263" s="8"/>
      <c r="C263" s="8"/>
      <c r="E263" s="8"/>
    </row>
    <row r="264" spans="2:5" x14ac:dyDescent="0.3">
      <c r="B264" s="8"/>
      <c r="C264" s="8"/>
      <c r="E264" s="8"/>
    </row>
    <row r="265" spans="2:5" x14ac:dyDescent="0.3">
      <c r="B265" s="8"/>
      <c r="C265" s="8"/>
      <c r="E265" s="8"/>
    </row>
    <row r="266" spans="2:5" x14ac:dyDescent="0.3">
      <c r="B266" s="8"/>
      <c r="C266" s="8"/>
      <c r="E266" s="8"/>
    </row>
  </sheetData>
  <sortState xmlns:xlrd2="http://schemas.microsoft.com/office/spreadsheetml/2017/richdata2" ref="Q75:R160">
    <sortCondition ref="R75:R160"/>
  </sortState>
  <mergeCells count="2">
    <mergeCell ref="A1:L1"/>
    <mergeCell ref="A127:A129"/>
  </mergeCells>
  <pageMargins left="0.7" right="0.7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4EEEA-2F26-46A3-8F3A-6EB470781704}">
  <sheetPr codeName="Trang_tính5"/>
  <dimension ref="A1:AG277"/>
  <sheetViews>
    <sheetView topLeftCell="A231" zoomScale="50" zoomScaleNormal="50" workbookViewId="0">
      <selection activeCell="I185" sqref="I185"/>
    </sheetView>
  </sheetViews>
  <sheetFormatPr defaultRowHeight="14" x14ac:dyDescent="0.3"/>
  <cols>
    <col min="1" max="1" width="8.58203125" customWidth="1"/>
    <col min="2" max="2" width="10.9140625" customWidth="1"/>
    <col min="3" max="3" width="9.1640625" customWidth="1"/>
    <col min="4" max="8" width="9.5" bestFit="1" customWidth="1"/>
    <col min="9" max="9" width="10.08203125" bestFit="1" customWidth="1"/>
    <col min="10" max="10" width="9.5" bestFit="1" customWidth="1"/>
    <col min="11" max="11" width="10.08203125" bestFit="1" customWidth="1"/>
    <col min="12" max="17" width="9.5" bestFit="1" customWidth="1"/>
    <col min="18" max="19" width="6" customWidth="1"/>
    <col min="20" max="20" width="6.1640625" customWidth="1"/>
    <col min="21" max="22" width="9.5" bestFit="1" customWidth="1"/>
    <col min="23" max="27" width="10.08203125" bestFit="1" customWidth="1"/>
    <col min="28" max="29" width="9.5" bestFit="1" customWidth="1"/>
    <col min="30" max="30" width="10.08203125" bestFit="1" customWidth="1"/>
    <col min="31" max="31" width="9.5" bestFit="1" customWidth="1"/>
    <col min="33" max="33" width="10.75" customWidth="1"/>
  </cols>
  <sheetData>
    <row r="1" spans="1:33" ht="23" x14ac:dyDescent="0.5">
      <c r="B1" s="143" t="s">
        <v>131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</row>
    <row r="2" spans="1:33" ht="26" x14ac:dyDescent="0.3">
      <c r="B2" s="25" t="s">
        <v>41</v>
      </c>
      <c r="C2" s="25" t="s">
        <v>42</v>
      </c>
      <c r="D2" s="25" t="s">
        <v>10</v>
      </c>
      <c r="E2" s="25" t="s">
        <v>43</v>
      </c>
      <c r="F2" s="26" t="s">
        <v>44</v>
      </c>
      <c r="G2" s="25" t="s">
        <v>45</v>
      </c>
      <c r="H2" s="26" t="s">
        <v>46</v>
      </c>
      <c r="I2" s="26" t="s">
        <v>47</v>
      </c>
      <c r="J2" s="25" t="s">
        <v>12</v>
      </c>
      <c r="K2" s="25" t="s">
        <v>48</v>
      </c>
      <c r="L2" s="25" t="s">
        <v>11</v>
      </c>
      <c r="M2" s="26" t="s">
        <v>13</v>
      </c>
      <c r="N2" s="26" t="s">
        <v>49</v>
      </c>
      <c r="O2" s="25" t="s">
        <v>14</v>
      </c>
      <c r="P2" s="26" t="s">
        <v>17</v>
      </c>
      <c r="Q2" s="25" t="s">
        <v>50</v>
      </c>
      <c r="R2" s="25" t="s">
        <v>51</v>
      </c>
      <c r="S2" s="25" t="s">
        <v>52</v>
      </c>
      <c r="T2" s="26" t="s">
        <v>53</v>
      </c>
      <c r="U2" s="25" t="s">
        <v>15</v>
      </c>
      <c r="V2" s="26" t="s">
        <v>54</v>
      </c>
      <c r="W2" s="26" t="s">
        <v>55</v>
      </c>
      <c r="X2" s="26" t="s">
        <v>56</v>
      </c>
      <c r="Y2" s="26" t="s">
        <v>57</v>
      </c>
      <c r="Z2" s="26" t="s">
        <v>58</v>
      </c>
      <c r="AA2" s="26" t="s">
        <v>59</v>
      </c>
      <c r="AB2" s="26" t="s">
        <v>16</v>
      </c>
      <c r="AC2" s="26" t="s">
        <v>60</v>
      </c>
      <c r="AD2" s="26" t="s">
        <v>61</v>
      </c>
      <c r="AE2" s="26" t="s">
        <v>62</v>
      </c>
      <c r="AG2" s="18" t="s">
        <v>67</v>
      </c>
    </row>
    <row r="3" spans="1:33" x14ac:dyDescent="0.3">
      <c r="A3" s="25" t="s">
        <v>41</v>
      </c>
      <c r="B3" s="7">
        <v>2.4171584895452498E-3</v>
      </c>
      <c r="C3" s="7">
        <v>2.5323916416905489E-3</v>
      </c>
      <c r="D3" s="7">
        <v>1.5773862975043754E-3</v>
      </c>
      <c r="E3" s="7">
        <v>1.5190926538584532E-3</v>
      </c>
      <c r="F3" s="7">
        <v>1.5182306882013693E-3</v>
      </c>
      <c r="G3" s="7">
        <v>2.0586571470224318E-3</v>
      </c>
      <c r="H3" s="7">
        <v>1.9196840423003074E-3</v>
      </c>
      <c r="I3" s="7">
        <v>2.4210001271715259E-3</v>
      </c>
      <c r="J3" s="7">
        <v>2.4293557087830221E-3</v>
      </c>
      <c r="K3" s="7">
        <v>2.2922595760485848E-3</v>
      </c>
      <c r="L3" s="7">
        <v>1.0913961810643039E-4</v>
      </c>
      <c r="M3" s="7">
        <v>1.4249379956879835E-3</v>
      </c>
      <c r="N3" s="7">
        <v>2.6041557088850851E-3</v>
      </c>
      <c r="O3" s="7">
        <v>3.5469406216989972E-4</v>
      </c>
      <c r="P3" s="7">
        <v>2.6439514949065804E-3</v>
      </c>
      <c r="Q3" s="7">
        <v>9.5663911842571098E-4</v>
      </c>
      <c r="R3" s="7">
        <v>1.7106890543973508E-3</v>
      </c>
      <c r="S3" s="7">
        <v>7.5069491414041809E-4</v>
      </c>
      <c r="T3" s="7">
        <v>2.3600057710029226E-3</v>
      </c>
      <c r="U3" s="7">
        <v>1.9746867900729162E-3</v>
      </c>
      <c r="V3" s="7">
        <v>6.9123639118671162E-4</v>
      </c>
      <c r="W3" s="7">
        <v>1.8120435642693046E-3</v>
      </c>
      <c r="X3" s="7">
        <v>1.1540966804552302E-3</v>
      </c>
      <c r="Y3" s="7">
        <v>1.9433031419644308E-3</v>
      </c>
      <c r="Z3" s="7">
        <v>1.7364539456058284E-3</v>
      </c>
      <c r="AA3" s="7">
        <v>3.1166687133878487E-3</v>
      </c>
      <c r="AB3" s="7">
        <v>1.2086178531878398E-3</v>
      </c>
      <c r="AC3" s="7">
        <v>1.45606915048578E-3</v>
      </c>
      <c r="AD3" s="7">
        <v>1.943169167651723E-3</v>
      </c>
      <c r="AE3" s="7">
        <v>1.1921210953154448E-3</v>
      </c>
      <c r="AG3" s="17">
        <v>-9.7228148501555828E-4</v>
      </c>
    </row>
    <row r="4" spans="1:33" x14ac:dyDescent="0.3">
      <c r="A4" s="25" t="s">
        <v>42</v>
      </c>
      <c r="B4" s="7">
        <v>2.5323916416905489E-3</v>
      </c>
      <c r="C4" s="7">
        <v>1.4495099160265814E-2</v>
      </c>
      <c r="D4" s="7">
        <v>2.5412267089091191E-3</v>
      </c>
      <c r="E4" s="7">
        <v>3.4785782208721131E-3</v>
      </c>
      <c r="F4" s="7">
        <v>4.9539966858376935E-3</v>
      </c>
      <c r="G4" s="7">
        <v>4.8339860711046788E-3</v>
      </c>
      <c r="H4" s="7">
        <v>4.1481214600672927E-3</v>
      </c>
      <c r="I4" s="7">
        <v>7.9900484545273754E-3</v>
      </c>
      <c r="J4" s="7">
        <v>5.957794365116992E-3</v>
      </c>
      <c r="K4" s="7">
        <v>7.4927508485761827E-3</v>
      </c>
      <c r="L4" s="7">
        <v>2.9449018628378436E-4</v>
      </c>
      <c r="M4" s="7">
        <v>1.7102312408978004E-3</v>
      </c>
      <c r="N4" s="7">
        <v>1.3529862918449143E-2</v>
      </c>
      <c r="O4" s="7">
        <v>2.968625202949719E-3</v>
      </c>
      <c r="P4" s="7">
        <v>7.667260773177466E-3</v>
      </c>
      <c r="Q4" s="7">
        <v>9.1498043128570574E-4</v>
      </c>
      <c r="R4" s="7">
        <v>3.6805479521413694E-3</v>
      </c>
      <c r="S4" s="7">
        <v>2.4866604870511341E-3</v>
      </c>
      <c r="T4" s="7">
        <v>3.5356993719671717E-3</v>
      </c>
      <c r="U4" s="7">
        <v>5.8567620889917087E-3</v>
      </c>
      <c r="V4" s="7">
        <v>3.6586966277002073E-4</v>
      </c>
      <c r="W4" s="7">
        <v>2.4795458881906396E-3</v>
      </c>
      <c r="X4" s="7">
        <v>4.079671421913348E-3</v>
      </c>
      <c r="Y4" s="7">
        <v>5.7026644189779093E-3</v>
      </c>
      <c r="Z4" s="7">
        <v>6.3819744071839535E-3</v>
      </c>
      <c r="AA4" s="7">
        <v>9.1378892663955182E-3</v>
      </c>
      <c r="AB4" s="7">
        <v>1.8429309718483217E-3</v>
      </c>
      <c r="AC4" s="7">
        <v>3.8822071295009919E-3</v>
      </c>
      <c r="AD4" s="7">
        <v>9.8298896391867934E-3</v>
      </c>
      <c r="AE4" s="7">
        <v>4.0714430304877522E-3</v>
      </c>
      <c r="AG4" s="17">
        <v>2.50010100186575E-3</v>
      </c>
    </row>
    <row r="5" spans="1:33" x14ac:dyDescent="0.3">
      <c r="A5" s="25" t="s">
        <v>10</v>
      </c>
      <c r="B5" s="7">
        <v>1.5773862975043754E-3</v>
      </c>
      <c r="C5" s="7">
        <v>2.5412267089091191E-3</v>
      </c>
      <c r="D5" s="7">
        <v>2.5821472367638841E-2</v>
      </c>
      <c r="E5" s="7">
        <v>2.3347498285912404E-3</v>
      </c>
      <c r="F5" s="7">
        <v>1.9543325833054673E-3</v>
      </c>
      <c r="G5" s="7">
        <v>4.128573675366105E-3</v>
      </c>
      <c r="H5" s="7">
        <v>2.5645080185139335E-3</v>
      </c>
      <c r="I5" s="7">
        <v>3.5517028248358744E-3</v>
      </c>
      <c r="J5" s="7">
        <v>3.2619742653772999E-3</v>
      </c>
      <c r="K5" s="7">
        <v>2.3617947301490002E-3</v>
      </c>
      <c r="L5" s="7">
        <v>6.5466756212319331E-4</v>
      </c>
      <c r="M5" s="7">
        <v>-1.3163534939733437E-4</v>
      </c>
      <c r="N5" s="7">
        <v>2.1824655279877761E-3</v>
      </c>
      <c r="O5" s="7">
        <v>4.4006514598318325E-3</v>
      </c>
      <c r="P5" s="7">
        <v>3.8993783520661508E-3</v>
      </c>
      <c r="Q5" s="7">
        <v>1.3718704045986197E-3</v>
      </c>
      <c r="R5" s="7">
        <v>2.248716332040547E-3</v>
      </c>
      <c r="S5" s="7">
        <v>3.226059817276091E-4</v>
      </c>
      <c r="T5" s="7">
        <v>3.5574189684292861E-3</v>
      </c>
      <c r="U5" s="7">
        <v>3.5197411452386287E-3</v>
      </c>
      <c r="V5" s="7">
        <v>9.1615708699997788E-4</v>
      </c>
      <c r="W5" s="7">
        <v>2.383582057335847E-3</v>
      </c>
      <c r="X5" s="7">
        <v>2.1702026703433659E-3</v>
      </c>
      <c r="Y5" s="7">
        <v>3.4629976578599213E-3</v>
      </c>
      <c r="Z5" s="7">
        <v>2.1866615723753527E-3</v>
      </c>
      <c r="AA5" s="7">
        <v>4.9178305202009481E-3</v>
      </c>
      <c r="AB5" s="7">
        <v>9.6081333470328151E-4</v>
      </c>
      <c r="AC5" s="7">
        <v>1.2000365374160071E-3</v>
      </c>
      <c r="AD5" s="7">
        <v>6.5757909781266445E-3</v>
      </c>
      <c r="AE5" s="7">
        <v>1.6728491358270921E-3</v>
      </c>
      <c r="AG5" s="17">
        <v>4.0743109326464945E-2</v>
      </c>
    </row>
    <row r="6" spans="1:33" x14ac:dyDescent="0.3">
      <c r="A6" s="25" t="s">
        <v>43</v>
      </c>
      <c r="B6" s="7">
        <v>1.5190926538584532E-3</v>
      </c>
      <c r="C6" s="7">
        <v>3.4785782208721131E-3</v>
      </c>
      <c r="D6" s="7">
        <v>2.3347498285912404E-3</v>
      </c>
      <c r="E6" s="7">
        <v>5.4198518975310589E-3</v>
      </c>
      <c r="F6" s="7">
        <v>2.7913636742597538E-3</v>
      </c>
      <c r="G6" s="7">
        <v>3.1368533229061738E-3</v>
      </c>
      <c r="H6" s="7">
        <v>2.2860766675251438E-3</v>
      </c>
      <c r="I6" s="7">
        <v>3.6829759387857993E-3</v>
      </c>
      <c r="J6" s="7">
        <v>2.9171350824526709E-3</v>
      </c>
      <c r="K6" s="7">
        <v>3.0311710521386597E-3</v>
      </c>
      <c r="L6" s="7">
        <v>1.030969627483339E-3</v>
      </c>
      <c r="M6" s="7">
        <v>2.0944107622822262E-3</v>
      </c>
      <c r="N6" s="7">
        <v>3.5150389591823211E-3</v>
      </c>
      <c r="O6" s="7">
        <v>1.5691751825304421E-3</v>
      </c>
      <c r="P6" s="7">
        <v>5.2833279950362157E-3</v>
      </c>
      <c r="Q6" s="7">
        <v>1.3673909837570728E-3</v>
      </c>
      <c r="R6" s="7">
        <v>1.6598474114162232E-3</v>
      </c>
      <c r="S6" s="7">
        <v>2.1514188194490576E-3</v>
      </c>
      <c r="T6" s="7">
        <v>2.3283317584243965E-3</v>
      </c>
      <c r="U6" s="7">
        <v>2.8244740356994169E-3</v>
      </c>
      <c r="V6" s="7">
        <v>5.7732531805224823E-4</v>
      </c>
      <c r="W6" s="7">
        <v>3.1450387477968919E-3</v>
      </c>
      <c r="X6" s="7">
        <v>2.0817894334128162E-3</v>
      </c>
      <c r="Y6" s="7">
        <v>3.0891143466083063E-3</v>
      </c>
      <c r="Z6" s="7">
        <v>2.8444248987025507E-3</v>
      </c>
      <c r="AA6" s="7">
        <v>4.8142831983273814E-3</v>
      </c>
      <c r="AB6" s="7">
        <v>1.7458317327857494E-3</v>
      </c>
      <c r="AC6" s="7">
        <v>2.4646757360674873E-3</v>
      </c>
      <c r="AD6" s="7">
        <v>3.9696606660632617E-3</v>
      </c>
      <c r="AE6" s="7">
        <v>2.2365143836244402E-3</v>
      </c>
      <c r="AG6" s="17">
        <v>7.9783098437083422E-3</v>
      </c>
    </row>
    <row r="7" spans="1:33" x14ac:dyDescent="0.3">
      <c r="A7" s="26" t="s">
        <v>44</v>
      </c>
      <c r="B7" s="7">
        <v>1.5182306882013693E-3</v>
      </c>
      <c r="C7" s="7">
        <v>4.9539966858376935E-3</v>
      </c>
      <c r="D7" s="7">
        <v>1.9543325833054673E-3</v>
      </c>
      <c r="E7" s="7">
        <v>2.7913636742597538E-3</v>
      </c>
      <c r="F7" s="7">
        <v>4.8813158737581117E-3</v>
      </c>
      <c r="G7" s="7">
        <v>2.9339804014662202E-3</v>
      </c>
      <c r="H7" s="7">
        <v>2.9640783234690673E-3</v>
      </c>
      <c r="I7" s="7">
        <v>4.7428780224355593E-3</v>
      </c>
      <c r="J7" s="7">
        <v>3.6403168252736999E-3</v>
      </c>
      <c r="K7" s="7">
        <v>4.5033499921794673E-3</v>
      </c>
      <c r="L7" s="7">
        <v>-5.5070214372127731E-4</v>
      </c>
      <c r="M7" s="7">
        <v>1.8841198392042045E-3</v>
      </c>
      <c r="N7" s="7">
        <v>5.1135368155679692E-3</v>
      </c>
      <c r="O7" s="7">
        <v>2.4559210556413104E-3</v>
      </c>
      <c r="P7" s="7">
        <v>4.5334207755064072E-3</v>
      </c>
      <c r="Q7" s="7">
        <v>7.4079640794721578E-4</v>
      </c>
      <c r="R7" s="7">
        <v>1.6846551410446835E-3</v>
      </c>
      <c r="S7" s="7">
        <v>1.9882333282531233E-3</v>
      </c>
      <c r="T7" s="7">
        <v>1.7814822223195244E-3</v>
      </c>
      <c r="U7" s="7">
        <v>4.3933039776248017E-3</v>
      </c>
      <c r="V7" s="7">
        <v>6.699546072629581E-5</v>
      </c>
      <c r="W7" s="7">
        <v>2.1479629930577066E-3</v>
      </c>
      <c r="X7" s="7">
        <v>1.5724590754507776E-3</v>
      </c>
      <c r="Y7" s="7">
        <v>4.152081607538001E-3</v>
      </c>
      <c r="Z7" s="7">
        <v>4.3127698574231292E-3</v>
      </c>
      <c r="AA7" s="7">
        <v>6.0680443552748155E-3</v>
      </c>
      <c r="AB7" s="7">
        <v>1.4847253270266073E-3</v>
      </c>
      <c r="AC7" s="7">
        <v>3.7248298520269601E-3</v>
      </c>
      <c r="AD7" s="7">
        <v>6.0345769317669091E-3</v>
      </c>
      <c r="AE7" s="7">
        <v>3.843056397417386E-3</v>
      </c>
      <c r="AG7" s="17">
        <v>5.3214208137620442E-3</v>
      </c>
    </row>
    <row r="8" spans="1:33" x14ac:dyDescent="0.3">
      <c r="A8" s="25" t="s">
        <v>45</v>
      </c>
      <c r="B8" s="7">
        <v>2.0586571470224318E-3</v>
      </c>
      <c r="C8" s="7">
        <v>4.8339860711046788E-3</v>
      </c>
      <c r="D8" s="7">
        <v>4.128573675366105E-3</v>
      </c>
      <c r="E8" s="7">
        <v>3.1368533229061738E-3</v>
      </c>
      <c r="F8" s="7">
        <v>2.9339804014662202E-3</v>
      </c>
      <c r="G8" s="7">
        <v>4.9621197449548245E-3</v>
      </c>
      <c r="H8" s="7">
        <v>2.9044808318325079E-3</v>
      </c>
      <c r="I8" s="7">
        <v>4.8105567396949959E-3</v>
      </c>
      <c r="J8" s="7">
        <v>4.2057114478422E-3</v>
      </c>
      <c r="K8" s="7">
        <v>3.9577073238039944E-3</v>
      </c>
      <c r="L8" s="7">
        <v>7.1523791449765563E-4</v>
      </c>
      <c r="M8" s="7">
        <v>2.1002621178058387E-3</v>
      </c>
      <c r="N8" s="7">
        <v>4.7397527859387879E-3</v>
      </c>
      <c r="O8" s="7">
        <v>2.1061936129378703E-3</v>
      </c>
      <c r="P8" s="7">
        <v>5.4748744124329118E-3</v>
      </c>
      <c r="Q8" s="7">
        <v>1.256161736378448E-3</v>
      </c>
      <c r="R8" s="7">
        <v>2.0160278874046525E-3</v>
      </c>
      <c r="S8" s="7">
        <v>1.4585693144848818E-3</v>
      </c>
      <c r="T8" s="7">
        <v>2.1326924895178215E-3</v>
      </c>
      <c r="U8" s="7">
        <v>3.7813528018831965E-3</v>
      </c>
      <c r="V8" s="7">
        <v>9.4322029082712718E-4</v>
      </c>
      <c r="W8" s="7">
        <v>2.5906351181880869E-3</v>
      </c>
      <c r="X8" s="7">
        <v>1.7420497678581025E-3</v>
      </c>
      <c r="Y8" s="7">
        <v>3.7514856395148804E-3</v>
      </c>
      <c r="Z8" s="7">
        <v>4.1789886878068555E-3</v>
      </c>
      <c r="AA8" s="7">
        <v>6.0890993093112569E-3</v>
      </c>
      <c r="AB8" s="7">
        <v>1.4256780993732307E-3</v>
      </c>
      <c r="AC8" s="7">
        <v>2.6759469374499113E-3</v>
      </c>
      <c r="AD8" s="7">
        <v>5.6207532036572768E-3</v>
      </c>
      <c r="AE8" s="7">
        <v>2.3313656336295106E-3</v>
      </c>
      <c r="AG8" s="17">
        <v>6.9288135410347593E-3</v>
      </c>
    </row>
    <row r="9" spans="1:33" x14ac:dyDescent="0.3">
      <c r="A9" s="26" t="s">
        <v>46</v>
      </c>
      <c r="B9" s="7">
        <v>1.9196840423003074E-3</v>
      </c>
      <c r="C9" s="7">
        <v>4.1481214600672927E-3</v>
      </c>
      <c r="D9" s="7">
        <v>2.5645080185139335E-3</v>
      </c>
      <c r="E9" s="7">
        <v>2.2860766675251438E-3</v>
      </c>
      <c r="F9" s="7">
        <v>2.9640783234690673E-3</v>
      </c>
      <c r="G9" s="7">
        <v>2.9044808318325079E-3</v>
      </c>
      <c r="H9" s="7">
        <v>4.7671039173725407E-3</v>
      </c>
      <c r="I9" s="7">
        <v>4.6893406422343882E-3</v>
      </c>
      <c r="J9" s="7">
        <v>3.3938969228338531E-3</v>
      </c>
      <c r="K9" s="7">
        <v>4.2676554205163322E-3</v>
      </c>
      <c r="L9" s="7">
        <v>6.5378528522928511E-4</v>
      </c>
      <c r="M9" s="7">
        <v>1.5207326956925894E-3</v>
      </c>
      <c r="N9" s="7">
        <v>4.3116797684265851E-3</v>
      </c>
      <c r="O9" s="7">
        <v>2.2649638687050337E-3</v>
      </c>
      <c r="P9" s="7">
        <v>5.2442934546365373E-3</v>
      </c>
      <c r="Q9" s="7">
        <v>1.3282523437938068E-3</v>
      </c>
      <c r="R9" s="7">
        <v>1.8787506150263855E-3</v>
      </c>
      <c r="S9" s="7">
        <v>1.2838844712973539E-3</v>
      </c>
      <c r="T9" s="7">
        <v>1.8889522172047873E-3</v>
      </c>
      <c r="U9" s="7">
        <v>3.0641686413297848E-3</v>
      </c>
      <c r="V9" s="7">
        <v>6.5361274837922798E-4</v>
      </c>
      <c r="W9" s="7">
        <v>2.4117110190098648E-3</v>
      </c>
      <c r="X9" s="7">
        <v>1.5025559409206277E-3</v>
      </c>
      <c r="Y9" s="7">
        <v>3.6074959413396859E-3</v>
      </c>
      <c r="Z9" s="7">
        <v>3.2591024138710267E-3</v>
      </c>
      <c r="AA9" s="7">
        <v>6.1668034523249451E-3</v>
      </c>
      <c r="AB9" s="7">
        <v>1.5463198460653528E-3</v>
      </c>
      <c r="AC9" s="7">
        <v>2.1373962145003439E-3</v>
      </c>
      <c r="AD9" s="7">
        <v>4.1293042885421497E-3</v>
      </c>
      <c r="AE9" s="7">
        <v>2.5722249157352712E-3</v>
      </c>
      <c r="AG9" s="17">
        <v>6.5518805534664241E-3</v>
      </c>
    </row>
    <row r="10" spans="1:33" x14ac:dyDescent="0.3">
      <c r="A10" s="26" t="s">
        <v>47</v>
      </c>
      <c r="B10" s="7">
        <v>2.4210001271715259E-3</v>
      </c>
      <c r="C10" s="7">
        <v>7.9900484545273754E-3</v>
      </c>
      <c r="D10" s="7">
        <v>3.5517028248358744E-3</v>
      </c>
      <c r="E10" s="7">
        <v>3.6829759387857993E-3</v>
      </c>
      <c r="F10" s="7">
        <v>4.7428780224355593E-3</v>
      </c>
      <c r="G10" s="7">
        <v>4.8105567396949959E-3</v>
      </c>
      <c r="H10" s="7">
        <v>4.6893406422343882E-3</v>
      </c>
      <c r="I10" s="7">
        <v>9.0200465000047202E-3</v>
      </c>
      <c r="J10" s="7">
        <v>6.7286923323565144E-3</v>
      </c>
      <c r="K10" s="7">
        <v>7.2913462166003407E-3</v>
      </c>
      <c r="L10" s="7">
        <v>9.9692778201042722E-4</v>
      </c>
      <c r="M10" s="7">
        <v>2.504218685195311E-3</v>
      </c>
      <c r="N10" s="7">
        <v>8.247573489224622E-3</v>
      </c>
      <c r="O10" s="7">
        <v>3.3432447489845927E-3</v>
      </c>
      <c r="P10" s="7">
        <v>8.4181753990094765E-3</v>
      </c>
      <c r="Q10" s="7">
        <v>1.2334651992766438E-3</v>
      </c>
      <c r="R10" s="7">
        <v>2.9454354947826681E-3</v>
      </c>
      <c r="S10" s="7">
        <v>2.1007910609101357E-3</v>
      </c>
      <c r="T10" s="7">
        <v>2.3514714687813362E-3</v>
      </c>
      <c r="U10" s="7">
        <v>5.4325618721016728E-3</v>
      </c>
      <c r="V10" s="7">
        <v>4.8357813194424256E-4</v>
      </c>
      <c r="W10" s="7">
        <v>3.1293529022805547E-3</v>
      </c>
      <c r="X10" s="7">
        <v>2.2664922543573214E-3</v>
      </c>
      <c r="Y10" s="7">
        <v>5.9218241703404258E-3</v>
      </c>
      <c r="Z10" s="7">
        <v>7.3302384046999413E-3</v>
      </c>
      <c r="AA10" s="7">
        <v>9.5449616457973993E-3</v>
      </c>
      <c r="AB10" s="7">
        <v>2.4419870474809884E-3</v>
      </c>
      <c r="AC10" s="7">
        <v>4.0922765559085819E-3</v>
      </c>
      <c r="AD10" s="7">
        <v>8.1996098382163471E-3</v>
      </c>
      <c r="AE10" s="7">
        <v>3.9883344027427329E-3</v>
      </c>
      <c r="AG10" s="17">
        <v>-7.7221345639838133E-4</v>
      </c>
    </row>
    <row r="11" spans="1:33" x14ac:dyDescent="0.3">
      <c r="A11" s="25" t="s">
        <v>12</v>
      </c>
      <c r="B11" s="7">
        <v>2.4293557087830221E-3</v>
      </c>
      <c r="C11" s="7">
        <v>5.957794365116992E-3</v>
      </c>
      <c r="D11" s="7">
        <v>3.2619742653772999E-3</v>
      </c>
      <c r="E11" s="7">
        <v>2.9171350824526709E-3</v>
      </c>
      <c r="F11" s="7">
        <v>3.6403168252736999E-3</v>
      </c>
      <c r="G11" s="7">
        <v>4.2057114478422E-3</v>
      </c>
      <c r="H11" s="7">
        <v>3.3938969228338531E-3</v>
      </c>
      <c r="I11" s="7">
        <v>6.7286923323565144E-3</v>
      </c>
      <c r="J11" s="7">
        <v>8.9095290724769821E-3</v>
      </c>
      <c r="K11" s="7">
        <v>5.7856621305237754E-3</v>
      </c>
      <c r="L11" s="7">
        <v>2.9910360835192363E-4</v>
      </c>
      <c r="M11" s="7">
        <v>2.432007903357054E-3</v>
      </c>
      <c r="N11" s="7">
        <v>6.2217190601028191E-3</v>
      </c>
      <c r="O11" s="7">
        <v>2.796609394293418E-3</v>
      </c>
      <c r="P11" s="7">
        <v>6.5066042804420264E-3</v>
      </c>
      <c r="Q11" s="7">
        <v>9.1959209453043838E-4</v>
      </c>
      <c r="R11" s="7">
        <v>2.6140605673320503E-3</v>
      </c>
      <c r="S11" s="7">
        <v>1.781831350892405E-3</v>
      </c>
      <c r="T11" s="7">
        <v>3.0430986503302989E-3</v>
      </c>
      <c r="U11" s="7">
        <v>5.2861214984274724E-3</v>
      </c>
      <c r="V11" s="7">
        <v>1.0389046466522409E-3</v>
      </c>
      <c r="W11" s="7">
        <v>3.0980845852455665E-3</v>
      </c>
      <c r="X11" s="7">
        <v>1.357927401447869E-3</v>
      </c>
      <c r="Y11" s="7">
        <v>5.0814341261584796E-3</v>
      </c>
      <c r="Z11" s="7">
        <v>6.9452665682849524E-3</v>
      </c>
      <c r="AA11" s="7">
        <v>1.0101437266593322E-2</v>
      </c>
      <c r="AB11" s="7">
        <v>2.4204257927906091E-3</v>
      </c>
      <c r="AC11" s="7">
        <v>3.2471699592072486E-3</v>
      </c>
      <c r="AD11" s="7">
        <v>7.2734508141150409E-3</v>
      </c>
      <c r="AE11" s="7">
        <v>2.8729765487115369E-3</v>
      </c>
      <c r="AG11" s="17">
        <v>1.7396897908116257E-2</v>
      </c>
    </row>
    <row r="12" spans="1:33" x14ac:dyDescent="0.3">
      <c r="A12" s="25" t="s">
        <v>48</v>
      </c>
      <c r="B12" s="7">
        <v>2.2922595760485848E-3</v>
      </c>
      <c r="C12" s="7">
        <v>7.4927508485761827E-3</v>
      </c>
      <c r="D12" s="7">
        <v>2.3617947301490002E-3</v>
      </c>
      <c r="E12" s="7">
        <v>3.0311710521386597E-3</v>
      </c>
      <c r="F12" s="7">
        <v>4.5033499921794673E-3</v>
      </c>
      <c r="G12" s="7">
        <v>3.9577073238039944E-3</v>
      </c>
      <c r="H12" s="7">
        <v>4.2676554205163322E-3</v>
      </c>
      <c r="I12" s="7">
        <v>7.2913462166003407E-3</v>
      </c>
      <c r="J12" s="7">
        <v>5.7856621305237754E-3</v>
      </c>
      <c r="K12" s="7">
        <v>7.5997002586492262E-3</v>
      </c>
      <c r="L12" s="7">
        <v>-7.9846779931642999E-6</v>
      </c>
      <c r="M12" s="7">
        <v>2.0788441101623305E-3</v>
      </c>
      <c r="N12" s="7">
        <v>7.3985019029447017E-3</v>
      </c>
      <c r="O12" s="7">
        <v>2.9327041478962126E-3</v>
      </c>
      <c r="P12" s="7">
        <v>6.8673304735182468E-3</v>
      </c>
      <c r="Q12" s="7">
        <v>8.5923951953882052E-4</v>
      </c>
      <c r="R12" s="7">
        <v>2.5760837784874527E-3</v>
      </c>
      <c r="S12" s="7">
        <v>1.7594147884001912E-3</v>
      </c>
      <c r="T12" s="7">
        <v>1.7408268119949489E-3</v>
      </c>
      <c r="U12" s="7">
        <v>4.4139992540125827E-3</v>
      </c>
      <c r="V12" s="7">
        <v>4.4372076386075079E-4</v>
      </c>
      <c r="W12" s="7">
        <v>2.607118829770062E-3</v>
      </c>
      <c r="X12" s="7">
        <v>1.8723169695680584E-3</v>
      </c>
      <c r="Y12" s="7">
        <v>5.2553467810551096E-3</v>
      </c>
      <c r="Z12" s="7">
        <v>5.97724779836216E-3</v>
      </c>
      <c r="AA12" s="7">
        <v>7.47245834343739E-3</v>
      </c>
      <c r="AB12" s="7">
        <v>1.7451344782734191E-3</v>
      </c>
      <c r="AC12" s="7">
        <v>3.5296212393389585E-3</v>
      </c>
      <c r="AD12" s="7">
        <v>6.6485223847282809E-3</v>
      </c>
      <c r="AE12" s="7">
        <v>3.5670421177579005E-3</v>
      </c>
      <c r="AG12" s="17">
        <v>-2.1073168997166715E-3</v>
      </c>
    </row>
    <row r="13" spans="1:33" x14ac:dyDescent="0.3">
      <c r="A13" s="25" t="s">
        <v>11</v>
      </c>
      <c r="B13" s="7">
        <v>1.0913961810643039E-4</v>
      </c>
      <c r="C13" s="7">
        <v>2.9449018628378436E-4</v>
      </c>
      <c r="D13" s="7">
        <v>6.5466756212319331E-4</v>
      </c>
      <c r="E13" s="7">
        <v>1.030969627483339E-3</v>
      </c>
      <c r="F13" s="7">
        <v>-5.5070214372127731E-4</v>
      </c>
      <c r="G13" s="7">
        <v>7.1523791449765563E-4</v>
      </c>
      <c r="H13" s="7">
        <v>6.5378528522928511E-4</v>
      </c>
      <c r="I13" s="7">
        <v>9.9692778201042722E-4</v>
      </c>
      <c r="J13" s="7">
        <v>2.9910360835192363E-4</v>
      </c>
      <c r="K13" s="7">
        <v>-7.9846779931642999E-6</v>
      </c>
      <c r="L13" s="7">
        <v>6.8071706223236331E-3</v>
      </c>
      <c r="M13" s="7">
        <v>5.9920612659697945E-4</v>
      </c>
      <c r="N13" s="7">
        <v>1.3606919572551661E-4</v>
      </c>
      <c r="O13" s="7">
        <v>9.1181919118716107E-4</v>
      </c>
      <c r="P13" s="7">
        <v>2.4673860554914199E-3</v>
      </c>
      <c r="Q13" s="7">
        <v>4.6821171399265575E-4</v>
      </c>
      <c r="R13" s="7">
        <v>1.0946850438657988E-3</v>
      </c>
      <c r="S13" s="7">
        <v>3.9425266804311415E-4</v>
      </c>
      <c r="T13" s="7">
        <v>1.4525177412502367E-3</v>
      </c>
      <c r="U13" s="7">
        <v>2.1147813110168354E-4</v>
      </c>
      <c r="V13" s="7">
        <v>6.3345055165224323E-4</v>
      </c>
      <c r="W13" s="7">
        <v>1.5641899231816977E-3</v>
      </c>
      <c r="X13" s="7">
        <v>7.9161824507771193E-4</v>
      </c>
      <c r="Y13" s="7">
        <v>-1.6543932340645803E-4</v>
      </c>
      <c r="Z13" s="7">
        <v>5.3610085630297413E-4</v>
      </c>
      <c r="AA13" s="7">
        <v>7.32360345164446E-4</v>
      </c>
      <c r="AB13" s="7">
        <v>5.3308099379059241E-5</v>
      </c>
      <c r="AC13" s="7">
        <v>-1.9414786655893706E-4</v>
      </c>
      <c r="AD13" s="7">
        <v>1.364033267883327E-3</v>
      </c>
      <c r="AE13" s="7">
        <v>-1.7422386638884697E-4</v>
      </c>
      <c r="AG13" s="17">
        <v>3.4012698606636367E-2</v>
      </c>
    </row>
    <row r="14" spans="1:33" x14ac:dyDescent="0.3">
      <c r="A14" s="26" t="s">
        <v>13</v>
      </c>
      <c r="B14" s="7">
        <v>1.4249379956879835E-3</v>
      </c>
      <c r="C14" s="7">
        <v>1.7102312408978004E-3</v>
      </c>
      <c r="D14" s="7">
        <v>-1.3163534939733437E-4</v>
      </c>
      <c r="E14" s="7">
        <v>2.0944107622822262E-3</v>
      </c>
      <c r="F14" s="7">
        <v>1.8841198392042045E-3</v>
      </c>
      <c r="G14" s="7">
        <v>2.1002621178058387E-3</v>
      </c>
      <c r="H14" s="7">
        <v>1.5207326956925894E-3</v>
      </c>
      <c r="I14" s="7">
        <v>2.504218685195311E-3</v>
      </c>
      <c r="J14" s="7">
        <v>2.432007903357054E-3</v>
      </c>
      <c r="K14" s="7">
        <v>2.0788441101623305E-3</v>
      </c>
      <c r="L14" s="7">
        <v>5.9920612659697945E-4</v>
      </c>
      <c r="M14" s="7">
        <v>5.5403235477444347E-3</v>
      </c>
      <c r="N14" s="7">
        <v>1.984371262962535E-3</v>
      </c>
      <c r="O14" s="7">
        <v>1.4381192708695114E-3</v>
      </c>
      <c r="P14" s="7">
        <v>3.1741946104171508E-3</v>
      </c>
      <c r="Q14" s="7">
        <v>1.5428929525017777E-3</v>
      </c>
      <c r="R14" s="7">
        <v>1.1817881621429547E-3</v>
      </c>
      <c r="S14" s="7">
        <v>1.1581105256286452E-3</v>
      </c>
      <c r="T14" s="7">
        <v>2.5763689999021453E-3</v>
      </c>
      <c r="U14" s="7">
        <v>3.4229565698009798E-3</v>
      </c>
      <c r="V14" s="7">
        <v>1.1693402275278061E-3</v>
      </c>
      <c r="W14" s="7">
        <v>1.4423513431174255E-3</v>
      </c>
      <c r="X14" s="7">
        <v>9.2414605387061872E-4</v>
      </c>
      <c r="Y14" s="7">
        <v>2.4335330278885841E-3</v>
      </c>
      <c r="Z14" s="7">
        <v>3.1748469422523099E-3</v>
      </c>
      <c r="AA14" s="7">
        <v>5.6740114408066469E-3</v>
      </c>
      <c r="AB14" s="7">
        <v>2.5594237623329276E-3</v>
      </c>
      <c r="AC14" s="7">
        <v>1.9187205928992974E-3</v>
      </c>
      <c r="AD14" s="7">
        <v>3.1953062542965011E-3</v>
      </c>
      <c r="AE14" s="7">
        <v>2.0298015012944434E-3</v>
      </c>
      <c r="AG14" s="17">
        <v>1.9868434168737327E-2</v>
      </c>
    </row>
    <row r="15" spans="1:33" x14ac:dyDescent="0.3">
      <c r="A15" s="26" t="s">
        <v>49</v>
      </c>
      <c r="B15" s="7">
        <v>2.6041557088850851E-3</v>
      </c>
      <c r="C15" s="7">
        <v>1.3529862918449143E-2</v>
      </c>
      <c r="D15" s="7">
        <v>2.1824655279877761E-3</v>
      </c>
      <c r="E15" s="7">
        <v>3.5150389591823211E-3</v>
      </c>
      <c r="F15" s="7">
        <v>5.1135368155679692E-3</v>
      </c>
      <c r="G15" s="7">
        <v>4.7397527859387879E-3</v>
      </c>
      <c r="H15" s="7">
        <v>4.3116797684265851E-3</v>
      </c>
      <c r="I15" s="7">
        <v>8.247573489224622E-3</v>
      </c>
      <c r="J15" s="7">
        <v>6.2217190601028191E-3</v>
      </c>
      <c r="K15" s="7">
        <v>7.3985019029447017E-3</v>
      </c>
      <c r="L15" s="7">
        <v>1.3606919572551661E-4</v>
      </c>
      <c r="M15" s="7">
        <v>1.984371262962535E-3</v>
      </c>
      <c r="N15" s="7">
        <v>1.3239817835991196E-2</v>
      </c>
      <c r="O15" s="7">
        <v>2.8663144892335569E-3</v>
      </c>
      <c r="P15" s="7">
        <v>7.4562876275936574E-3</v>
      </c>
      <c r="Q15" s="7">
        <v>1.1942598397626527E-3</v>
      </c>
      <c r="R15" s="7">
        <v>3.3733384939659233E-3</v>
      </c>
      <c r="S15" s="7">
        <v>2.5994978103856263E-3</v>
      </c>
      <c r="T15" s="7">
        <v>3.8336732478234455E-3</v>
      </c>
      <c r="U15" s="7">
        <v>6.0660657247355032E-3</v>
      </c>
      <c r="V15" s="7">
        <v>4.2265971299996845E-4</v>
      </c>
      <c r="W15" s="7">
        <v>2.7390410031274256E-3</v>
      </c>
      <c r="X15" s="7">
        <v>3.8898734855652571E-3</v>
      </c>
      <c r="Y15" s="7">
        <v>5.8259637419216534E-3</v>
      </c>
      <c r="Z15" s="7">
        <v>6.5849640930353021E-3</v>
      </c>
      <c r="AA15" s="7">
        <v>9.916240560862731E-3</v>
      </c>
      <c r="AB15" s="7">
        <v>1.9567430279687588E-3</v>
      </c>
      <c r="AC15" s="7">
        <v>4.0589330120773051E-3</v>
      </c>
      <c r="AD15" s="7">
        <v>9.7287475102999978E-3</v>
      </c>
      <c r="AE15" s="7">
        <v>4.417252691005142E-3</v>
      </c>
      <c r="AG15" s="17">
        <v>2.6243704516471329E-3</v>
      </c>
    </row>
    <row r="16" spans="1:33" x14ac:dyDescent="0.3">
      <c r="A16" s="25" t="s">
        <v>14</v>
      </c>
      <c r="B16" s="7">
        <v>3.5469406216989972E-4</v>
      </c>
      <c r="C16" s="7">
        <v>2.968625202949719E-3</v>
      </c>
      <c r="D16" s="7">
        <v>4.4006514598318325E-3</v>
      </c>
      <c r="E16" s="7">
        <v>1.5691751825304421E-3</v>
      </c>
      <c r="F16" s="7">
        <v>2.4559210556413104E-3</v>
      </c>
      <c r="G16" s="7">
        <v>2.1061936129378703E-3</v>
      </c>
      <c r="H16" s="7">
        <v>2.2649638687050337E-3</v>
      </c>
      <c r="I16" s="7">
        <v>3.3432447489845927E-3</v>
      </c>
      <c r="J16" s="7">
        <v>2.796609394293418E-3</v>
      </c>
      <c r="K16" s="7">
        <v>2.9327041478962126E-3</v>
      </c>
      <c r="L16" s="7">
        <v>9.1181919118716107E-4</v>
      </c>
      <c r="M16" s="7">
        <v>1.4381192708695114E-3</v>
      </c>
      <c r="N16" s="7">
        <v>2.8663144892335569E-3</v>
      </c>
      <c r="O16" s="7">
        <v>9.5449097792667924E-3</v>
      </c>
      <c r="P16" s="7">
        <v>3.5109375163572599E-3</v>
      </c>
      <c r="Q16" s="7">
        <v>7.3399962082955513E-4</v>
      </c>
      <c r="R16" s="7">
        <v>9.9650457611702306E-4</v>
      </c>
      <c r="S16" s="7">
        <v>1.6261601038383665E-3</v>
      </c>
      <c r="T16" s="7">
        <v>1.5213014232857204E-3</v>
      </c>
      <c r="U16" s="7">
        <v>2.6268597763200252E-3</v>
      </c>
      <c r="V16" s="7">
        <v>4.3080250768179589E-4</v>
      </c>
      <c r="W16" s="7">
        <v>2.4280857864644079E-3</v>
      </c>
      <c r="X16" s="7">
        <v>5.9247078761677941E-4</v>
      </c>
      <c r="Y16" s="7">
        <v>2.6978319876377523E-3</v>
      </c>
      <c r="Z16" s="7">
        <v>3.8927745877437949E-3</v>
      </c>
      <c r="AA16" s="7">
        <v>5.6212203663312558E-3</v>
      </c>
      <c r="AB16" s="7">
        <v>4.0846774786940268E-5</v>
      </c>
      <c r="AC16" s="7">
        <v>1.8860732537281846E-3</v>
      </c>
      <c r="AD16" s="7">
        <v>3.4699044142861403E-3</v>
      </c>
      <c r="AE16" s="7">
        <v>1.9538420122091745E-3</v>
      </c>
      <c r="AG16" s="17">
        <v>3.4350656596959711E-2</v>
      </c>
    </row>
    <row r="17" spans="1:33" x14ac:dyDescent="0.3">
      <c r="A17" s="26" t="s">
        <v>17</v>
      </c>
      <c r="B17" s="7">
        <v>2.6439514949065804E-3</v>
      </c>
      <c r="C17" s="7">
        <v>7.667260773177466E-3</v>
      </c>
      <c r="D17" s="7">
        <v>3.8993783520661508E-3</v>
      </c>
      <c r="E17" s="7">
        <v>5.2833279950362157E-3</v>
      </c>
      <c r="F17" s="7">
        <v>4.5334207755064072E-3</v>
      </c>
      <c r="G17" s="7">
        <v>5.4748744124329118E-3</v>
      </c>
      <c r="H17" s="7">
        <v>5.2442934546365373E-3</v>
      </c>
      <c r="I17" s="7">
        <v>8.4181753990094765E-3</v>
      </c>
      <c r="J17" s="7">
        <v>6.5066042804420264E-3</v>
      </c>
      <c r="K17" s="7">
        <v>6.8673304735182468E-3</v>
      </c>
      <c r="L17" s="7">
        <v>2.4673860554914199E-3</v>
      </c>
      <c r="M17" s="7">
        <v>3.1741946104171508E-3</v>
      </c>
      <c r="N17" s="7">
        <v>7.4562876275936574E-3</v>
      </c>
      <c r="O17" s="7">
        <v>3.5109375163572599E-3</v>
      </c>
      <c r="P17" s="7">
        <v>1.8165350207832196E-2</v>
      </c>
      <c r="Q17" s="7">
        <v>9.5048819579589402E-4</v>
      </c>
      <c r="R17" s="7">
        <v>4.0015712546615052E-3</v>
      </c>
      <c r="S17" s="7">
        <v>2.5378629332827272E-3</v>
      </c>
      <c r="T17" s="7">
        <v>3.5071111909898019E-3</v>
      </c>
      <c r="U17" s="7">
        <v>5.9337857576132877E-3</v>
      </c>
      <c r="V17" s="7">
        <v>5.1917901212123353E-4</v>
      </c>
      <c r="W17" s="7">
        <v>4.368598343219403E-3</v>
      </c>
      <c r="X17" s="7">
        <v>3.6029111530989553E-3</v>
      </c>
      <c r="Y17" s="7">
        <v>6.4703172983487768E-3</v>
      </c>
      <c r="Z17" s="7">
        <v>7.308237407426782E-3</v>
      </c>
      <c r="AA17" s="7">
        <v>9.5505128961767324E-3</v>
      </c>
      <c r="AB17" s="7">
        <v>4.7585275602122831E-3</v>
      </c>
      <c r="AC17" s="7">
        <v>3.4943235420989206E-3</v>
      </c>
      <c r="AD17" s="7">
        <v>8.5937677856264515E-3</v>
      </c>
      <c r="AE17" s="7">
        <v>3.5533356355167008E-3</v>
      </c>
      <c r="AG17" s="17">
        <v>3.3368444812851158E-2</v>
      </c>
    </row>
    <row r="18" spans="1:33" x14ac:dyDescent="0.3">
      <c r="A18" s="25" t="s">
        <v>50</v>
      </c>
      <c r="B18" s="7">
        <v>9.5663911842571098E-4</v>
      </c>
      <c r="C18" s="7">
        <v>9.1498043128570574E-4</v>
      </c>
      <c r="D18" s="7">
        <v>1.3718704045986197E-3</v>
      </c>
      <c r="E18" s="7">
        <v>1.3673909837570728E-3</v>
      </c>
      <c r="F18" s="7">
        <v>7.4079640794721578E-4</v>
      </c>
      <c r="G18" s="7">
        <v>1.256161736378448E-3</v>
      </c>
      <c r="H18" s="7">
        <v>1.3282523437938068E-3</v>
      </c>
      <c r="I18" s="7">
        <v>1.2334651992766438E-3</v>
      </c>
      <c r="J18" s="7">
        <v>9.1959209453043838E-4</v>
      </c>
      <c r="K18" s="7">
        <v>8.5923951953882052E-4</v>
      </c>
      <c r="L18" s="7">
        <v>4.6821171399265575E-4</v>
      </c>
      <c r="M18" s="7">
        <v>1.5428929525017777E-3</v>
      </c>
      <c r="N18" s="7">
        <v>1.1942598397626527E-3</v>
      </c>
      <c r="O18" s="7">
        <v>7.3399962082955513E-4</v>
      </c>
      <c r="P18" s="7">
        <v>9.5048819579589402E-4</v>
      </c>
      <c r="Q18" s="7">
        <v>3.1663608432768893E-3</v>
      </c>
      <c r="R18" s="7">
        <v>7.2349058388231752E-4</v>
      </c>
      <c r="S18" s="7">
        <v>1.3074073553437551E-3</v>
      </c>
      <c r="T18" s="7">
        <v>2.6767986992444356E-3</v>
      </c>
      <c r="U18" s="7">
        <v>2.1498946558537522E-3</v>
      </c>
      <c r="V18" s="7">
        <v>2.666461224297448E-3</v>
      </c>
      <c r="W18" s="7">
        <v>1.4583967615928691E-3</v>
      </c>
      <c r="X18" s="7">
        <v>1.5320571364968905E-3</v>
      </c>
      <c r="Y18" s="7">
        <v>7.6458159160457801E-4</v>
      </c>
      <c r="Z18" s="7">
        <v>1.0907007444992472E-3</v>
      </c>
      <c r="AA18" s="7">
        <v>2.6409200706091563E-3</v>
      </c>
      <c r="AB18" s="7">
        <v>1.5092846948161671E-3</v>
      </c>
      <c r="AC18" s="7">
        <v>1.1267013387991495E-3</v>
      </c>
      <c r="AD18" s="7">
        <v>1.1688517431267371E-3</v>
      </c>
      <c r="AE18" s="7">
        <v>1.0670574801908868E-3</v>
      </c>
      <c r="AG18" s="17">
        <v>8.6763701650059127E-3</v>
      </c>
    </row>
    <row r="19" spans="1:33" x14ac:dyDescent="0.3">
      <c r="A19" s="25" t="s">
        <v>51</v>
      </c>
      <c r="B19" s="7">
        <v>1.7106890543973508E-3</v>
      </c>
      <c r="C19" s="7">
        <v>3.6805479521413694E-3</v>
      </c>
      <c r="D19" s="7">
        <v>2.248716332040547E-3</v>
      </c>
      <c r="E19" s="7">
        <v>1.6598474114162232E-3</v>
      </c>
      <c r="F19" s="7">
        <v>1.6846551410446835E-3</v>
      </c>
      <c r="G19" s="7">
        <v>2.0160278874046525E-3</v>
      </c>
      <c r="H19" s="7">
        <v>1.8787506150263855E-3</v>
      </c>
      <c r="I19" s="7">
        <v>2.9454354947826681E-3</v>
      </c>
      <c r="J19" s="7">
        <v>2.6140605673320503E-3</v>
      </c>
      <c r="K19" s="7">
        <v>2.5760837784874527E-3</v>
      </c>
      <c r="L19" s="7">
        <v>1.0946850438657988E-3</v>
      </c>
      <c r="M19" s="7">
        <v>1.1817881621429547E-3</v>
      </c>
      <c r="N19" s="7">
        <v>3.3733384939659233E-3</v>
      </c>
      <c r="O19" s="7">
        <v>9.9650457611702306E-4</v>
      </c>
      <c r="P19" s="7">
        <v>4.0015712546615052E-3</v>
      </c>
      <c r="Q19" s="7">
        <v>7.2349058388231752E-4</v>
      </c>
      <c r="R19" s="7">
        <v>3.938368401358641E-3</v>
      </c>
      <c r="S19" s="7">
        <v>1.2550773916673995E-3</v>
      </c>
      <c r="T19" s="7">
        <v>2.136031324929415E-3</v>
      </c>
      <c r="U19" s="7">
        <v>2.9773394096317186E-3</v>
      </c>
      <c r="V19" s="7">
        <v>6.8672448205785316E-4</v>
      </c>
      <c r="W19" s="7">
        <v>1.9092317195090231E-3</v>
      </c>
      <c r="X19" s="7">
        <v>1.5394907132375291E-3</v>
      </c>
      <c r="Y19" s="7">
        <v>2.246363345544798E-3</v>
      </c>
      <c r="Z19" s="7">
        <v>2.2076070109520009E-3</v>
      </c>
      <c r="AA19" s="7">
        <v>3.4135789223413088E-3</v>
      </c>
      <c r="AB19" s="7">
        <v>1.7709192772974896E-3</v>
      </c>
      <c r="AC19" s="7">
        <v>1.4424001746347621E-3</v>
      </c>
      <c r="AD19" s="7">
        <v>3.6490151467188409E-3</v>
      </c>
      <c r="AE19" s="7">
        <v>1.1019884486609215E-3</v>
      </c>
      <c r="AG19" s="17">
        <v>6.7143675275954376E-3</v>
      </c>
    </row>
    <row r="20" spans="1:33" x14ac:dyDescent="0.3">
      <c r="A20" s="25" t="s">
        <v>52</v>
      </c>
      <c r="B20" s="7">
        <v>7.5069491414041809E-4</v>
      </c>
      <c r="C20" s="7">
        <v>2.4866604870511341E-3</v>
      </c>
      <c r="D20" s="7">
        <v>3.226059817276091E-4</v>
      </c>
      <c r="E20" s="7">
        <v>2.1514188194490576E-3</v>
      </c>
      <c r="F20" s="7">
        <v>1.9882333282531233E-3</v>
      </c>
      <c r="G20" s="7">
        <v>1.4585693144848818E-3</v>
      </c>
      <c r="H20" s="7">
        <v>1.2838844712973539E-3</v>
      </c>
      <c r="I20" s="7">
        <v>2.1007910609101357E-3</v>
      </c>
      <c r="J20" s="7">
        <v>1.781831350892405E-3</v>
      </c>
      <c r="K20" s="7">
        <v>1.7594147884001912E-3</v>
      </c>
      <c r="L20" s="7">
        <v>3.9425266804311415E-4</v>
      </c>
      <c r="M20" s="7">
        <v>1.1581105256286452E-3</v>
      </c>
      <c r="N20" s="7">
        <v>2.5994978103856263E-3</v>
      </c>
      <c r="O20" s="7">
        <v>1.6261601038383665E-3</v>
      </c>
      <c r="P20" s="7">
        <v>2.5378629332827272E-3</v>
      </c>
      <c r="Q20" s="7">
        <v>1.3074073553437551E-3</v>
      </c>
      <c r="R20" s="7">
        <v>1.2550773916673995E-3</v>
      </c>
      <c r="S20" s="7">
        <v>2.9217116030641221E-3</v>
      </c>
      <c r="T20" s="7">
        <v>1.5047797555727143E-3</v>
      </c>
      <c r="U20" s="7">
        <v>2.4581260570050696E-3</v>
      </c>
      <c r="V20" s="7">
        <v>8.2752979072917249E-4</v>
      </c>
      <c r="W20" s="7">
        <v>1.9202569084776344E-3</v>
      </c>
      <c r="X20" s="7">
        <v>1.2609179485031073E-3</v>
      </c>
      <c r="Y20" s="7">
        <v>1.5964286575237427E-3</v>
      </c>
      <c r="Z20" s="7">
        <v>2.0593967819088742E-3</v>
      </c>
      <c r="AA20" s="7">
        <v>3.3599849397208921E-3</v>
      </c>
      <c r="AB20" s="7">
        <v>1.9828600022248162E-3</v>
      </c>
      <c r="AC20" s="7">
        <v>1.799994526404607E-3</v>
      </c>
      <c r="AD20" s="7">
        <v>2.9647709316486309E-3</v>
      </c>
      <c r="AE20" s="7">
        <v>2.0597365548397223E-3</v>
      </c>
      <c r="AG20" s="17">
        <v>9.9157211126981865E-3</v>
      </c>
    </row>
    <row r="21" spans="1:33" x14ac:dyDescent="0.3">
      <c r="A21" s="26" t="s">
        <v>53</v>
      </c>
      <c r="B21" s="7">
        <v>2.3600057710029226E-3</v>
      </c>
      <c r="C21" s="7">
        <v>3.5356993719671717E-3</v>
      </c>
      <c r="D21" s="7">
        <v>3.5574189684292861E-3</v>
      </c>
      <c r="E21" s="7">
        <v>2.3283317584243965E-3</v>
      </c>
      <c r="F21" s="7">
        <v>1.7814822223195244E-3</v>
      </c>
      <c r="G21" s="7">
        <v>2.1326924895178215E-3</v>
      </c>
      <c r="H21" s="7">
        <v>1.8889522172047873E-3</v>
      </c>
      <c r="I21" s="7">
        <v>2.3514714687813362E-3</v>
      </c>
      <c r="J21" s="7">
        <v>3.0430986503302989E-3</v>
      </c>
      <c r="K21" s="7">
        <v>1.7408268119949489E-3</v>
      </c>
      <c r="L21" s="7">
        <v>1.4525177412502367E-3</v>
      </c>
      <c r="M21" s="7">
        <v>2.5763689999021453E-3</v>
      </c>
      <c r="N21" s="7">
        <v>3.8336732478234455E-3</v>
      </c>
      <c r="O21" s="7">
        <v>1.5213014232857204E-3</v>
      </c>
      <c r="P21" s="7">
        <v>3.5071111909898019E-3</v>
      </c>
      <c r="Q21" s="7">
        <v>2.6767986992444356E-3</v>
      </c>
      <c r="R21" s="7">
        <v>2.136031324929415E-3</v>
      </c>
      <c r="S21" s="7">
        <v>1.5047797555727143E-3</v>
      </c>
      <c r="T21" s="7">
        <v>1.2888134866958506E-2</v>
      </c>
      <c r="U21" s="7">
        <v>3.4395232916836602E-3</v>
      </c>
      <c r="V21" s="7">
        <v>2.2450227329039638E-3</v>
      </c>
      <c r="W21" s="7">
        <v>3.011629779659142E-3</v>
      </c>
      <c r="X21" s="7">
        <v>6.1282675731933623E-3</v>
      </c>
      <c r="Y21" s="7">
        <v>2.0081343310658839E-3</v>
      </c>
      <c r="Z21" s="7">
        <v>2.5387215223536754E-3</v>
      </c>
      <c r="AA21" s="7">
        <v>4.8526969615829869E-3</v>
      </c>
      <c r="AB21" s="7">
        <v>1.5732357858247062E-3</v>
      </c>
      <c r="AC21" s="7">
        <v>1.1693750823786508E-3</v>
      </c>
      <c r="AD21" s="7">
        <v>4.4933947567624899E-3</v>
      </c>
      <c r="AE21" s="7">
        <v>1.5867521630024619E-3</v>
      </c>
      <c r="AG21" s="17">
        <v>4.7818605397556514E-3</v>
      </c>
    </row>
    <row r="22" spans="1:33" x14ac:dyDescent="0.3">
      <c r="A22" s="25" t="s">
        <v>15</v>
      </c>
      <c r="B22" s="7">
        <v>1.9746867900729162E-3</v>
      </c>
      <c r="C22" s="7">
        <v>5.8567620889917087E-3</v>
      </c>
      <c r="D22" s="7">
        <v>3.5197411452386287E-3</v>
      </c>
      <c r="E22" s="7">
        <v>2.8244740356994169E-3</v>
      </c>
      <c r="F22" s="7">
        <v>4.3933039776248017E-3</v>
      </c>
      <c r="G22" s="7">
        <v>3.7813528018831965E-3</v>
      </c>
      <c r="H22" s="7">
        <v>3.0641686413297848E-3</v>
      </c>
      <c r="I22" s="7">
        <v>5.4325618721016728E-3</v>
      </c>
      <c r="J22" s="7">
        <v>5.2861214984274724E-3</v>
      </c>
      <c r="K22" s="7">
        <v>4.4139992540125827E-3</v>
      </c>
      <c r="L22" s="7">
        <v>2.1147813110168354E-4</v>
      </c>
      <c r="M22" s="7">
        <v>3.4229565698009798E-3</v>
      </c>
      <c r="N22" s="7">
        <v>6.0660657247355032E-3</v>
      </c>
      <c r="O22" s="7">
        <v>2.6268597763200252E-3</v>
      </c>
      <c r="P22" s="7">
        <v>5.9337857576132877E-3</v>
      </c>
      <c r="Q22" s="7">
        <v>2.1498946558537522E-3</v>
      </c>
      <c r="R22" s="7">
        <v>2.9773394096317186E-3</v>
      </c>
      <c r="S22" s="7">
        <v>2.4581260570050696E-3</v>
      </c>
      <c r="T22" s="7">
        <v>3.4395232916836602E-3</v>
      </c>
      <c r="U22" s="7">
        <v>9.4303389923153166E-3</v>
      </c>
      <c r="V22" s="7">
        <v>1.0815715321988073E-3</v>
      </c>
      <c r="W22" s="7">
        <v>2.9038671774632156E-3</v>
      </c>
      <c r="X22" s="7">
        <v>2.1075608953974199E-3</v>
      </c>
      <c r="Y22" s="7">
        <v>4.6770011115462298E-3</v>
      </c>
      <c r="Z22" s="7">
        <v>5.8290088539069132E-3</v>
      </c>
      <c r="AA22" s="7">
        <v>9.2204128091659694E-3</v>
      </c>
      <c r="AB22" s="7">
        <v>4.2628225954180546E-3</v>
      </c>
      <c r="AC22" s="7">
        <v>3.9106853215895498E-3</v>
      </c>
      <c r="AD22" s="7">
        <v>8.09599442702553E-3</v>
      </c>
      <c r="AE22" s="7">
        <v>4.0311611390987882E-3</v>
      </c>
      <c r="AG22" s="17">
        <v>1.2239979045882679E-2</v>
      </c>
    </row>
    <row r="23" spans="1:33" x14ac:dyDescent="0.3">
      <c r="A23" s="26" t="s">
        <v>54</v>
      </c>
      <c r="B23" s="7">
        <v>6.9123639118671162E-4</v>
      </c>
      <c r="C23" s="7">
        <v>3.6586966277002073E-4</v>
      </c>
      <c r="D23" s="7">
        <v>9.1615708699997788E-4</v>
      </c>
      <c r="E23" s="7">
        <v>5.7732531805224823E-4</v>
      </c>
      <c r="F23" s="7">
        <v>6.699546072629581E-5</v>
      </c>
      <c r="G23" s="7">
        <v>9.4322029082712718E-4</v>
      </c>
      <c r="H23" s="7">
        <v>6.5361274837922798E-4</v>
      </c>
      <c r="I23" s="7">
        <v>4.8357813194424256E-4</v>
      </c>
      <c r="J23" s="7">
        <v>1.0389046466522409E-3</v>
      </c>
      <c r="K23" s="7">
        <v>4.4372076386075079E-4</v>
      </c>
      <c r="L23" s="7">
        <v>6.3345055165224323E-4</v>
      </c>
      <c r="M23" s="7">
        <v>1.1693402275278061E-3</v>
      </c>
      <c r="N23" s="7">
        <v>4.2265971299996845E-4</v>
      </c>
      <c r="O23" s="7">
        <v>4.3080250768179589E-4</v>
      </c>
      <c r="P23" s="7">
        <v>5.1917901212123353E-4</v>
      </c>
      <c r="Q23" s="7">
        <v>2.666461224297448E-3</v>
      </c>
      <c r="R23" s="7">
        <v>6.8672448205785316E-4</v>
      </c>
      <c r="S23" s="7">
        <v>8.2752979072917249E-4</v>
      </c>
      <c r="T23" s="7">
        <v>2.2450227329039638E-3</v>
      </c>
      <c r="U23" s="7">
        <v>1.0815715321988073E-3</v>
      </c>
      <c r="V23" s="7">
        <v>3.6183920007446723E-3</v>
      </c>
      <c r="W23" s="7">
        <v>8.9614116328063352E-4</v>
      </c>
      <c r="X23" s="7">
        <v>1.1718918157301195E-3</v>
      </c>
      <c r="Y23" s="7">
        <v>4.170572621284721E-5</v>
      </c>
      <c r="Z23" s="7">
        <v>7.4693325834822115E-4</v>
      </c>
      <c r="AA23" s="7">
        <v>1.4981300761684995E-3</v>
      </c>
      <c r="AB23" s="7">
        <v>1.0581443212937024E-3</v>
      </c>
      <c r="AC23" s="7">
        <v>5.6210738185387236E-4</v>
      </c>
      <c r="AD23" s="7">
        <v>8.7168276341616127E-4</v>
      </c>
      <c r="AE23" s="7">
        <v>3.9533756765283229E-4</v>
      </c>
      <c r="AG23" s="17">
        <v>7.5572808797761629E-3</v>
      </c>
    </row>
    <row r="24" spans="1:33" x14ac:dyDescent="0.3">
      <c r="A24" s="26" t="s">
        <v>55</v>
      </c>
      <c r="B24" s="7">
        <v>1.8120435642693046E-3</v>
      </c>
      <c r="C24" s="7">
        <v>2.4795458881906396E-3</v>
      </c>
      <c r="D24" s="7">
        <v>2.383582057335847E-3</v>
      </c>
      <c r="E24" s="7">
        <v>3.1450387477968919E-3</v>
      </c>
      <c r="F24" s="7">
        <v>2.1479629930577066E-3</v>
      </c>
      <c r="G24" s="7">
        <v>2.5906351181880869E-3</v>
      </c>
      <c r="H24" s="7">
        <v>2.4117110190098648E-3</v>
      </c>
      <c r="I24" s="7">
        <v>3.1293529022805547E-3</v>
      </c>
      <c r="J24" s="7">
        <v>3.0980845852455665E-3</v>
      </c>
      <c r="K24" s="7">
        <v>2.607118829770062E-3</v>
      </c>
      <c r="L24" s="7">
        <v>1.5641899231816977E-3</v>
      </c>
      <c r="M24" s="7">
        <v>1.4423513431174255E-3</v>
      </c>
      <c r="N24" s="7">
        <v>2.7390410031274256E-3</v>
      </c>
      <c r="O24" s="7">
        <v>2.4280857864644079E-3</v>
      </c>
      <c r="P24" s="7">
        <v>4.368598343219403E-3</v>
      </c>
      <c r="Q24" s="7">
        <v>1.4583967615928691E-3</v>
      </c>
      <c r="R24" s="7">
        <v>1.9092317195090231E-3</v>
      </c>
      <c r="S24" s="7">
        <v>1.9202569084776344E-3</v>
      </c>
      <c r="T24" s="7">
        <v>3.011629779659142E-3</v>
      </c>
      <c r="U24" s="7">
        <v>2.9038671774632156E-3</v>
      </c>
      <c r="V24" s="7">
        <v>8.9614116328063352E-4</v>
      </c>
      <c r="W24" s="7">
        <v>5.3473114548986712E-3</v>
      </c>
      <c r="X24" s="7">
        <v>1.9778414199021258E-3</v>
      </c>
      <c r="Y24" s="7">
        <v>2.6422451154458288E-3</v>
      </c>
      <c r="Z24" s="7">
        <v>3.1655166652587948E-3</v>
      </c>
      <c r="AA24" s="7">
        <v>5.5010915080669839E-3</v>
      </c>
      <c r="AB24" s="7">
        <v>9.9215318143982124E-4</v>
      </c>
      <c r="AC24" s="7">
        <v>1.5667997093260617E-3</v>
      </c>
      <c r="AD24" s="7">
        <v>3.0982851073354783E-3</v>
      </c>
      <c r="AE24" s="7">
        <v>1.753049383319066E-3</v>
      </c>
      <c r="AG24" s="17">
        <v>-6.1493094837483642E-4</v>
      </c>
    </row>
    <row r="25" spans="1:33" x14ac:dyDescent="0.3">
      <c r="A25" s="26" t="s">
        <v>56</v>
      </c>
      <c r="B25" s="7">
        <v>1.1540966804552302E-3</v>
      </c>
      <c r="C25" s="7">
        <v>4.079671421913348E-3</v>
      </c>
      <c r="D25" s="7">
        <v>2.1702026703433659E-3</v>
      </c>
      <c r="E25" s="7">
        <v>2.0817894334128162E-3</v>
      </c>
      <c r="F25" s="7">
        <v>1.5724590754507776E-3</v>
      </c>
      <c r="G25" s="7">
        <v>1.7420497678581025E-3</v>
      </c>
      <c r="H25" s="7">
        <v>1.5025559409206277E-3</v>
      </c>
      <c r="I25" s="7">
        <v>2.2664922543573214E-3</v>
      </c>
      <c r="J25" s="7">
        <v>1.357927401447869E-3</v>
      </c>
      <c r="K25" s="7">
        <v>1.8723169695680584E-3</v>
      </c>
      <c r="L25" s="7">
        <v>7.9161824507771193E-4</v>
      </c>
      <c r="M25" s="7">
        <v>9.2414605387061872E-4</v>
      </c>
      <c r="N25" s="7">
        <v>3.8898734855652571E-3</v>
      </c>
      <c r="O25" s="7">
        <v>5.9247078761677941E-4</v>
      </c>
      <c r="P25" s="7">
        <v>3.6029111530989553E-3</v>
      </c>
      <c r="Q25" s="7">
        <v>1.5320571364968905E-3</v>
      </c>
      <c r="R25" s="7">
        <v>1.5394907132375291E-3</v>
      </c>
      <c r="S25" s="7">
        <v>1.2609179485031073E-3</v>
      </c>
      <c r="T25" s="7">
        <v>6.1282675731933623E-3</v>
      </c>
      <c r="U25" s="7">
        <v>2.1075608953974199E-3</v>
      </c>
      <c r="V25" s="7">
        <v>1.1718918157301195E-3</v>
      </c>
      <c r="W25" s="7">
        <v>1.9778414199021258E-3</v>
      </c>
      <c r="X25" s="7">
        <v>5.5802055211083132E-3</v>
      </c>
      <c r="Y25" s="7">
        <v>1.3701539089596667E-3</v>
      </c>
      <c r="Z25" s="7">
        <v>1.4424883990414659E-3</v>
      </c>
      <c r="AA25" s="7">
        <v>2.9104991939697721E-3</v>
      </c>
      <c r="AB25" s="7">
        <v>8.157273777875426E-4</v>
      </c>
      <c r="AC25" s="7">
        <v>8.890399363504581E-4</v>
      </c>
      <c r="AD25" s="7">
        <v>2.6087588950979229E-3</v>
      </c>
      <c r="AE25" s="7">
        <v>1.2751995956839705E-3</v>
      </c>
      <c r="AG25" s="17">
        <v>-2.6173178187012709E-3</v>
      </c>
    </row>
    <row r="26" spans="1:33" x14ac:dyDescent="0.3">
      <c r="A26" s="26" t="s">
        <v>57</v>
      </c>
      <c r="B26" s="7">
        <v>1.9433031419644308E-3</v>
      </c>
      <c r="C26" s="7">
        <v>5.7026644189779093E-3</v>
      </c>
      <c r="D26" s="7">
        <v>3.4629976578599213E-3</v>
      </c>
      <c r="E26" s="7">
        <v>3.0891143466083063E-3</v>
      </c>
      <c r="F26" s="7">
        <v>4.152081607538001E-3</v>
      </c>
      <c r="G26" s="7">
        <v>3.7514856395148804E-3</v>
      </c>
      <c r="H26" s="7">
        <v>3.6074959413396859E-3</v>
      </c>
      <c r="I26" s="7">
        <v>5.9218241703404258E-3</v>
      </c>
      <c r="J26" s="7">
        <v>5.0814341261584796E-3</v>
      </c>
      <c r="K26" s="7">
        <v>5.2553467810551096E-3</v>
      </c>
      <c r="L26" s="7">
        <v>-1.6543932340645803E-4</v>
      </c>
      <c r="M26" s="7">
        <v>2.4335330278885841E-3</v>
      </c>
      <c r="N26" s="7">
        <v>5.8259637419216534E-3</v>
      </c>
      <c r="O26" s="7">
        <v>2.6978319876377523E-3</v>
      </c>
      <c r="P26" s="7">
        <v>6.4703172983487768E-3</v>
      </c>
      <c r="Q26" s="7">
        <v>7.6458159160457801E-4</v>
      </c>
      <c r="R26" s="7">
        <v>2.246363345544798E-3</v>
      </c>
      <c r="S26" s="7">
        <v>1.5964286575237427E-3</v>
      </c>
      <c r="T26" s="7">
        <v>2.0081343310658839E-3</v>
      </c>
      <c r="U26" s="7">
        <v>4.6770011115462298E-3</v>
      </c>
      <c r="V26" s="7">
        <v>4.170572621284721E-5</v>
      </c>
      <c r="W26" s="7">
        <v>2.6422451154458288E-3</v>
      </c>
      <c r="X26" s="7">
        <v>1.3701539089596667E-3</v>
      </c>
      <c r="Y26" s="7">
        <v>5.7848069594524775E-3</v>
      </c>
      <c r="Z26" s="7">
        <v>5.3151006263331716E-3</v>
      </c>
      <c r="AA26" s="7">
        <v>7.5542530621858471E-3</v>
      </c>
      <c r="AB26" s="7">
        <v>2.1349115809638996E-3</v>
      </c>
      <c r="AC26" s="7">
        <v>3.1333846356201888E-3</v>
      </c>
      <c r="AD26" s="7">
        <v>6.7893213556988923E-3</v>
      </c>
      <c r="AE26" s="7">
        <v>3.2585599076153365E-3</v>
      </c>
      <c r="AG26" s="17">
        <v>-1.5585568749412599E-3</v>
      </c>
    </row>
    <row r="27" spans="1:33" x14ac:dyDescent="0.3">
      <c r="A27" s="26" t="s">
        <v>58</v>
      </c>
      <c r="B27" s="7">
        <v>1.7364539456058284E-3</v>
      </c>
      <c r="C27" s="7">
        <v>6.3819744071839535E-3</v>
      </c>
      <c r="D27" s="7">
        <v>2.1866615723753527E-3</v>
      </c>
      <c r="E27" s="7">
        <v>2.8444248987025507E-3</v>
      </c>
      <c r="F27" s="7">
        <v>4.3127698574231292E-3</v>
      </c>
      <c r="G27" s="7">
        <v>4.1789886878068555E-3</v>
      </c>
      <c r="H27" s="7">
        <v>3.2591024138710267E-3</v>
      </c>
      <c r="I27" s="7">
        <v>7.3302384046999413E-3</v>
      </c>
      <c r="J27" s="7">
        <v>6.9452665682849524E-3</v>
      </c>
      <c r="K27" s="7">
        <v>5.97724779836216E-3</v>
      </c>
      <c r="L27" s="7">
        <v>5.3610085630297413E-4</v>
      </c>
      <c r="M27" s="7">
        <v>3.1748469422523099E-3</v>
      </c>
      <c r="N27" s="7">
        <v>6.5849640930353021E-3</v>
      </c>
      <c r="O27" s="7">
        <v>3.8927745877437949E-3</v>
      </c>
      <c r="P27" s="7">
        <v>7.308237407426782E-3</v>
      </c>
      <c r="Q27" s="7">
        <v>1.0907007444992472E-3</v>
      </c>
      <c r="R27" s="7">
        <v>2.2076070109520009E-3</v>
      </c>
      <c r="S27" s="7">
        <v>2.0593967819088742E-3</v>
      </c>
      <c r="T27" s="7">
        <v>2.5387215223536754E-3</v>
      </c>
      <c r="U27" s="7">
        <v>5.8290088539069132E-3</v>
      </c>
      <c r="V27" s="7">
        <v>7.4693325834822115E-4</v>
      </c>
      <c r="W27" s="7">
        <v>3.1655166652587948E-3</v>
      </c>
      <c r="X27" s="7">
        <v>1.4424883990414659E-3</v>
      </c>
      <c r="Y27" s="7">
        <v>5.3151006263331716E-3</v>
      </c>
      <c r="Z27" s="7">
        <v>8.845875820474091E-3</v>
      </c>
      <c r="AA27" s="7">
        <v>1.0617560828778509E-2</v>
      </c>
      <c r="AB27" s="7">
        <v>2.9681305218098122E-3</v>
      </c>
      <c r="AC27" s="7">
        <v>3.5274560754207668E-3</v>
      </c>
      <c r="AD27" s="7">
        <v>8.3055228717136553E-3</v>
      </c>
      <c r="AE27" s="7">
        <v>3.8116290986035268E-3</v>
      </c>
      <c r="AG27" s="17">
        <v>-7.798403172385969E-3</v>
      </c>
    </row>
    <row r="28" spans="1:33" x14ac:dyDescent="0.3">
      <c r="A28" s="26" t="s">
        <v>59</v>
      </c>
      <c r="B28" s="7">
        <v>3.1166687133878487E-3</v>
      </c>
      <c r="C28" s="7">
        <v>9.1378892663955182E-3</v>
      </c>
      <c r="D28" s="7">
        <v>4.9178305202009481E-3</v>
      </c>
      <c r="E28" s="7">
        <v>4.8142831983273814E-3</v>
      </c>
      <c r="F28" s="7">
        <v>6.0680443552748155E-3</v>
      </c>
      <c r="G28" s="7">
        <v>6.0890993093112569E-3</v>
      </c>
      <c r="H28" s="7">
        <v>6.1668034523249451E-3</v>
      </c>
      <c r="I28" s="7">
        <v>9.5449616457973993E-3</v>
      </c>
      <c r="J28" s="7">
        <v>1.0101437266593322E-2</v>
      </c>
      <c r="K28" s="7">
        <v>7.47245834343739E-3</v>
      </c>
      <c r="L28" s="7">
        <v>7.32360345164446E-4</v>
      </c>
      <c r="M28" s="7">
        <v>5.6740114408066469E-3</v>
      </c>
      <c r="N28" s="7">
        <v>9.916240560862731E-3</v>
      </c>
      <c r="O28" s="7">
        <v>5.6212203663312558E-3</v>
      </c>
      <c r="P28" s="7">
        <v>9.5505128961767324E-3</v>
      </c>
      <c r="Q28" s="7">
        <v>2.6409200706091563E-3</v>
      </c>
      <c r="R28" s="7">
        <v>3.4135789223413088E-3</v>
      </c>
      <c r="S28" s="7">
        <v>3.3599849397208921E-3</v>
      </c>
      <c r="T28" s="7">
        <v>4.8526969615829869E-3</v>
      </c>
      <c r="U28" s="7">
        <v>9.2204128091659694E-3</v>
      </c>
      <c r="V28" s="7">
        <v>1.4981300761684995E-3</v>
      </c>
      <c r="W28" s="7">
        <v>5.5010915080669839E-3</v>
      </c>
      <c r="X28" s="7">
        <v>2.9104991939697721E-3</v>
      </c>
      <c r="Y28" s="7">
        <v>7.5542530621858471E-3</v>
      </c>
      <c r="Z28" s="7">
        <v>1.0617560828778509E-2</v>
      </c>
      <c r="AA28" s="7">
        <v>2.2541525873213404E-2</v>
      </c>
      <c r="AB28" s="7">
        <v>5.1118762411525766E-3</v>
      </c>
      <c r="AC28" s="7">
        <v>4.8249493302462846E-3</v>
      </c>
      <c r="AD28" s="7">
        <v>1.228236899167395E-2</v>
      </c>
      <c r="AE28" s="7">
        <v>5.7117479602501508E-3</v>
      </c>
      <c r="AG28" s="17">
        <v>-7.519232637903564E-3</v>
      </c>
    </row>
    <row r="29" spans="1:33" x14ac:dyDescent="0.3">
      <c r="A29" s="26" t="s">
        <v>16</v>
      </c>
      <c r="B29" s="7">
        <v>1.2086178531878398E-3</v>
      </c>
      <c r="C29" s="7">
        <v>1.8429309718483217E-3</v>
      </c>
      <c r="D29" s="7">
        <v>9.6081333470328151E-4</v>
      </c>
      <c r="E29" s="7">
        <v>1.7458317327857494E-3</v>
      </c>
      <c r="F29" s="7">
        <v>1.4847253270266073E-3</v>
      </c>
      <c r="G29" s="7">
        <v>1.4256780993732307E-3</v>
      </c>
      <c r="H29" s="7">
        <v>1.5463198460653528E-3</v>
      </c>
      <c r="I29" s="7">
        <v>2.4419870474809884E-3</v>
      </c>
      <c r="J29" s="7">
        <v>2.4204257927906091E-3</v>
      </c>
      <c r="K29" s="7">
        <v>1.7451344782734191E-3</v>
      </c>
      <c r="L29" s="7">
        <v>5.3308099379059241E-5</v>
      </c>
      <c r="M29" s="7">
        <v>2.5594237623329276E-3</v>
      </c>
      <c r="N29" s="7">
        <v>1.9567430279687588E-3</v>
      </c>
      <c r="O29" s="7">
        <v>4.0846774786940268E-5</v>
      </c>
      <c r="P29" s="7">
        <v>4.7585275602122831E-3</v>
      </c>
      <c r="Q29" s="7">
        <v>1.5092846948161671E-3</v>
      </c>
      <c r="R29" s="7">
        <v>1.7709192772974896E-3</v>
      </c>
      <c r="S29" s="7">
        <v>1.9828600022248162E-3</v>
      </c>
      <c r="T29" s="7">
        <v>1.5732357858247062E-3</v>
      </c>
      <c r="U29" s="7">
        <v>4.2628225954180546E-3</v>
      </c>
      <c r="V29" s="7">
        <v>1.0581443212937024E-3</v>
      </c>
      <c r="W29" s="7">
        <v>9.9215318143982124E-4</v>
      </c>
      <c r="X29" s="7">
        <v>8.157273777875426E-4</v>
      </c>
      <c r="Y29" s="7">
        <v>2.1349115809638996E-3</v>
      </c>
      <c r="Z29" s="7">
        <v>2.9681305218098122E-3</v>
      </c>
      <c r="AA29" s="7">
        <v>5.1118762411525766E-3</v>
      </c>
      <c r="AB29" s="7">
        <v>7.2960460110875957E-3</v>
      </c>
      <c r="AC29" s="7">
        <v>1.5141978433297382E-3</v>
      </c>
      <c r="AD29" s="7">
        <v>2.5546954984916122E-3</v>
      </c>
      <c r="AE29" s="7">
        <v>1.5857163312660524E-3</v>
      </c>
      <c r="AG29" s="17">
        <v>2.1610757701367812E-2</v>
      </c>
    </row>
    <row r="30" spans="1:33" x14ac:dyDescent="0.3">
      <c r="A30" s="26" t="s">
        <v>60</v>
      </c>
      <c r="B30" s="7">
        <v>1.45606915048578E-3</v>
      </c>
      <c r="C30" s="7">
        <v>3.8822071295009919E-3</v>
      </c>
      <c r="D30" s="7">
        <v>1.2000365374160071E-3</v>
      </c>
      <c r="E30" s="7">
        <v>2.4646757360674873E-3</v>
      </c>
      <c r="F30" s="7">
        <v>3.7248298520269601E-3</v>
      </c>
      <c r="G30" s="7">
        <v>2.6759469374499113E-3</v>
      </c>
      <c r="H30" s="7">
        <v>2.1373962145003439E-3</v>
      </c>
      <c r="I30" s="7">
        <v>4.0922765559085819E-3</v>
      </c>
      <c r="J30" s="7">
        <v>3.2471699592072486E-3</v>
      </c>
      <c r="K30" s="7">
        <v>3.5296212393389585E-3</v>
      </c>
      <c r="L30" s="7">
        <v>-1.9414786655893706E-4</v>
      </c>
      <c r="M30" s="7">
        <v>1.9187205928992974E-3</v>
      </c>
      <c r="N30" s="7">
        <v>4.0589330120773051E-3</v>
      </c>
      <c r="O30" s="7">
        <v>1.8860732537281846E-3</v>
      </c>
      <c r="P30" s="7">
        <v>3.4943235420989206E-3</v>
      </c>
      <c r="Q30" s="7">
        <v>1.1267013387991495E-3</v>
      </c>
      <c r="R30" s="7">
        <v>1.4424001746347621E-3</v>
      </c>
      <c r="S30" s="7">
        <v>1.799994526404607E-3</v>
      </c>
      <c r="T30" s="7">
        <v>1.1693750823786508E-3</v>
      </c>
      <c r="U30" s="7">
        <v>3.9106853215895498E-3</v>
      </c>
      <c r="V30" s="7">
        <v>5.6210738185387236E-4</v>
      </c>
      <c r="W30" s="7">
        <v>1.5667997093260617E-3</v>
      </c>
      <c r="X30" s="7">
        <v>8.890399363504581E-4</v>
      </c>
      <c r="Y30" s="7">
        <v>3.1333846356201888E-3</v>
      </c>
      <c r="Z30" s="7">
        <v>3.5274560754207668E-3</v>
      </c>
      <c r="AA30" s="7">
        <v>4.8249493302462846E-3</v>
      </c>
      <c r="AB30" s="7">
        <v>1.5141978433297382E-3</v>
      </c>
      <c r="AC30" s="7">
        <v>4.1593914991968958E-3</v>
      </c>
      <c r="AD30" s="7">
        <v>4.9176475035715445E-3</v>
      </c>
      <c r="AE30" s="7">
        <v>3.1936903995830579E-3</v>
      </c>
      <c r="AG30" s="17">
        <v>5.2997146708404106E-3</v>
      </c>
    </row>
    <row r="31" spans="1:33" x14ac:dyDescent="0.3">
      <c r="A31" s="26" t="s">
        <v>61</v>
      </c>
      <c r="B31" s="7">
        <v>1.943169167651723E-3</v>
      </c>
      <c r="C31" s="7">
        <v>9.8298896391867934E-3</v>
      </c>
      <c r="D31" s="7">
        <v>6.5757909781266445E-3</v>
      </c>
      <c r="E31" s="7">
        <v>3.9696606660632617E-3</v>
      </c>
      <c r="F31" s="7">
        <v>6.0345769317669091E-3</v>
      </c>
      <c r="G31" s="7">
        <v>5.6207532036572768E-3</v>
      </c>
      <c r="H31" s="7">
        <v>4.1293042885421497E-3</v>
      </c>
      <c r="I31" s="7">
        <v>8.1996098382163471E-3</v>
      </c>
      <c r="J31" s="7">
        <v>7.2734508141150409E-3</v>
      </c>
      <c r="K31" s="7">
        <v>6.6485223847282809E-3</v>
      </c>
      <c r="L31" s="7">
        <v>1.364033267883327E-3</v>
      </c>
      <c r="M31" s="7">
        <v>3.1953062542965011E-3</v>
      </c>
      <c r="N31" s="7">
        <v>9.7287475102999978E-3</v>
      </c>
      <c r="O31" s="7">
        <v>3.4699044142861403E-3</v>
      </c>
      <c r="P31" s="7">
        <v>8.5937677856264515E-3</v>
      </c>
      <c r="Q31" s="7">
        <v>1.1688517431267371E-3</v>
      </c>
      <c r="R31" s="7">
        <v>3.6490151467188409E-3</v>
      </c>
      <c r="S31" s="7">
        <v>2.9647709316486309E-3</v>
      </c>
      <c r="T31" s="7">
        <v>4.4933947567624899E-3</v>
      </c>
      <c r="U31" s="7">
        <v>8.09599442702553E-3</v>
      </c>
      <c r="V31" s="7">
        <v>8.7168276341616127E-4</v>
      </c>
      <c r="W31" s="7">
        <v>3.0982851073354783E-3</v>
      </c>
      <c r="X31" s="7">
        <v>2.6087588950979229E-3</v>
      </c>
      <c r="Y31" s="7">
        <v>6.7893213556988923E-3</v>
      </c>
      <c r="Z31" s="7">
        <v>8.3055228717136553E-3</v>
      </c>
      <c r="AA31" s="7">
        <v>1.228236899167395E-2</v>
      </c>
      <c r="AB31" s="7">
        <v>2.5546954984916122E-3</v>
      </c>
      <c r="AC31" s="7">
        <v>4.9176475035715445E-3</v>
      </c>
      <c r="AD31" s="7">
        <v>1.9090064164384024E-2</v>
      </c>
      <c r="AE31" s="7">
        <v>6.0393870610203635E-3</v>
      </c>
      <c r="AG31" s="17">
        <v>-9.5495114311798957E-3</v>
      </c>
    </row>
    <row r="32" spans="1:33" x14ac:dyDescent="0.3">
      <c r="A32" s="26" t="s">
        <v>62</v>
      </c>
      <c r="B32" s="7">
        <v>1.1921210953154448E-3</v>
      </c>
      <c r="C32" s="7">
        <v>4.0714430304877522E-3</v>
      </c>
      <c r="D32" s="7">
        <v>1.6728491358270921E-3</v>
      </c>
      <c r="E32" s="7">
        <v>2.2365143836244402E-3</v>
      </c>
      <c r="F32" s="7">
        <v>3.843056397417386E-3</v>
      </c>
      <c r="G32" s="7">
        <v>2.3313656336295106E-3</v>
      </c>
      <c r="H32" s="7">
        <v>2.5722249157352712E-3</v>
      </c>
      <c r="I32" s="7">
        <v>3.9883344027427329E-3</v>
      </c>
      <c r="J32" s="7">
        <v>2.8729765487115369E-3</v>
      </c>
      <c r="K32" s="7">
        <v>3.5670421177579005E-3</v>
      </c>
      <c r="L32" s="7">
        <v>-1.7422386638884697E-4</v>
      </c>
      <c r="M32" s="7">
        <v>2.0298015012944434E-3</v>
      </c>
      <c r="N32" s="7">
        <v>4.417252691005142E-3</v>
      </c>
      <c r="O32" s="7">
        <v>1.9538420122091745E-3</v>
      </c>
      <c r="P32" s="7">
        <v>3.5533356355167008E-3</v>
      </c>
      <c r="Q32" s="7">
        <v>1.0670574801908868E-3</v>
      </c>
      <c r="R32" s="7">
        <v>1.1019884486609215E-3</v>
      </c>
      <c r="S32" s="7">
        <v>2.0597365548397223E-3</v>
      </c>
      <c r="T32" s="7">
        <v>1.5867521630024619E-3</v>
      </c>
      <c r="U32" s="7">
        <v>4.0311611390987882E-3</v>
      </c>
      <c r="V32" s="7">
        <v>3.9533756765283229E-4</v>
      </c>
      <c r="W32" s="7">
        <v>1.753049383319066E-3</v>
      </c>
      <c r="X32" s="7">
        <v>1.2751995956839705E-3</v>
      </c>
      <c r="Y32" s="7">
        <v>3.2585599076153365E-3</v>
      </c>
      <c r="Z32" s="7">
        <v>3.8116290986035268E-3</v>
      </c>
      <c r="AA32" s="7">
        <v>5.7117479602501508E-3</v>
      </c>
      <c r="AB32" s="7">
        <v>1.5857163312660524E-3</v>
      </c>
      <c r="AC32" s="7">
        <v>3.1936903995830579E-3</v>
      </c>
      <c r="AD32" s="7">
        <v>6.0393870610203635E-3</v>
      </c>
      <c r="AE32" s="7">
        <v>4.2711793497885436E-3</v>
      </c>
      <c r="AG32" s="17">
        <v>3.9425184826952812E-3</v>
      </c>
    </row>
    <row r="34" spans="1:31" x14ac:dyDescent="0.3">
      <c r="A34" s="26" t="s">
        <v>67</v>
      </c>
      <c r="B34" s="17">
        <v>-9.7228148501555828E-4</v>
      </c>
      <c r="C34" s="17">
        <v>2.50010100186575E-3</v>
      </c>
      <c r="D34" s="17">
        <v>4.0743109326464945E-2</v>
      </c>
      <c r="E34" s="17">
        <v>7.9783098437083422E-3</v>
      </c>
      <c r="F34" s="17">
        <v>5.3214208137620442E-3</v>
      </c>
      <c r="G34" s="17">
        <v>6.9288135410347593E-3</v>
      </c>
      <c r="H34" s="17">
        <v>6.5518805534664241E-3</v>
      </c>
      <c r="I34" s="17">
        <v>-7.7221345639838133E-4</v>
      </c>
      <c r="J34" s="17">
        <v>1.7396897908116257E-2</v>
      </c>
      <c r="K34" s="17">
        <v>-2.1073168997166715E-3</v>
      </c>
      <c r="L34" s="17">
        <v>3.4012698606636367E-2</v>
      </c>
      <c r="M34" s="17">
        <v>1.9868434168737327E-2</v>
      </c>
      <c r="N34" s="17">
        <v>2.6243704516471329E-3</v>
      </c>
      <c r="O34" s="17">
        <v>3.4350656596959711E-2</v>
      </c>
      <c r="P34" s="17">
        <v>3.3368444812851158E-2</v>
      </c>
      <c r="Q34" s="17">
        <v>8.6763701650059127E-3</v>
      </c>
      <c r="R34" s="17">
        <v>6.7143675275954376E-3</v>
      </c>
      <c r="S34" s="17">
        <v>9.9157211126981865E-3</v>
      </c>
      <c r="T34" s="17">
        <v>4.7818605397556514E-3</v>
      </c>
      <c r="U34" s="17">
        <v>1.2239979045882679E-2</v>
      </c>
      <c r="V34" s="17">
        <v>7.5572808797761629E-3</v>
      </c>
      <c r="W34" s="17">
        <v>-6.1493094837483642E-4</v>
      </c>
      <c r="X34" s="17">
        <v>-2.6173178187012709E-3</v>
      </c>
      <c r="Y34" s="17">
        <v>-1.5585568749412599E-3</v>
      </c>
      <c r="Z34" s="17">
        <v>-7.798403172385969E-3</v>
      </c>
      <c r="AA34" s="17">
        <v>-7.519232637903564E-3</v>
      </c>
      <c r="AB34" s="17">
        <v>2.1610757701367812E-2</v>
      </c>
      <c r="AC34" s="17">
        <v>5.2997146708404106E-3</v>
      </c>
      <c r="AD34" s="17">
        <v>-9.5495114311798957E-3</v>
      </c>
      <c r="AE34" s="17">
        <v>3.9425184826952812E-3</v>
      </c>
    </row>
    <row r="35" spans="1:31" x14ac:dyDescent="0.3">
      <c r="B35" t="s">
        <v>144</v>
      </c>
      <c r="C35" s="8">
        <v>0.05</v>
      </c>
    </row>
    <row r="37" spans="1:31" x14ac:dyDescent="0.3">
      <c r="A37" t="s">
        <v>76</v>
      </c>
      <c r="B37" t="s">
        <v>133</v>
      </c>
      <c r="C37" t="s">
        <v>132</v>
      </c>
    </row>
    <row r="38" spans="1:31" x14ac:dyDescent="0.3">
      <c r="A38" s="25" t="s">
        <v>41</v>
      </c>
      <c r="B38" s="27" t="s">
        <v>77</v>
      </c>
      <c r="C38">
        <v>0.34064644131158672</v>
      </c>
    </row>
    <row r="39" spans="1:31" x14ac:dyDescent="0.3">
      <c r="A39" s="25" t="s">
        <v>42</v>
      </c>
      <c r="B39" s="27" t="s">
        <v>78</v>
      </c>
      <c r="C39">
        <v>0</v>
      </c>
    </row>
    <row r="40" spans="1:31" x14ac:dyDescent="0.3">
      <c r="A40" s="25" t="s">
        <v>10</v>
      </c>
      <c r="B40" s="27" t="s">
        <v>79</v>
      </c>
      <c r="C40">
        <v>0</v>
      </c>
    </row>
    <row r="41" spans="1:31" x14ac:dyDescent="0.3">
      <c r="A41" s="25" t="s">
        <v>43</v>
      </c>
      <c r="B41" s="27" t="s">
        <v>80</v>
      </c>
      <c r="C41">
        <v>0</v>
      </c>
    </row>
    <row r="42" spans="1:31" x14ac:dyDescent="0.3">
      <c r="A42" s="26" t="s">
        <v>44</v>
      </c>
      <c r="B42" s="27" t="s">
        <v>81</v>
      </c>
      <c r="C42">
        <v>0</v>
      </c>
    </row>
    <row r="43" spans="1:31" x14ac:dyDescent="0.3">
      <c r="A43" s="25" t="s">
        <v>45</v>
      </c>
      <c r="B43" s="27" t="s">
        <v>82</v>
      </c>
      <c r="C43">
        <v>0</v>
      </c>
    </row>
    <row r="44" spans="1:31" x14ac:dyDescent="0.3">
      <c r="A44" s="26" t="s">
        <v>46</v>
      </c>
      <c r="B44" s="27" t="s">
        <v>83</v>
      </c>
      <c r="C44">
        <v>0</v>
      </c>
    </row>
    <row r="45" spans="1:31" x14ac:dyDescent="0.3">
      <c r="A45" s="26" t="s">
        <v>47</v>
      </c>
      <c r="B45" s="27" t="s">
        <v>84</v>
      </c>
      <c r="C45">
        <v>0</v>
      </c>
    </row>
    <row r="46" spans="1:31" x14ac:dyDescent="0.3">
      <c r="A46" s="25" t="s">
        <v>12</v>
      </c>
      <c r="B46" s="27" t="s">
        <v>85</v>
      </c>
      <c r="C46">
        <v>0</v>
      </c>
    </row>
    <row r="47" spans="1:31" x14ac:dyDescent="0.3">
      <c r="A47" s="25" t="s">
        <v>48</v>
      </c>
      <c r="B47" s="27" t="s">
        <v>86</v>
      </c>
      <c r="C47">
        <v>0</v>
      </c>
    </row>
    <row r="48" spans="1:31" x14ac:dyDescent="0.3">
      <c r="A48" s="25" t="s">
        <v>11</v>
      </c>
      <c r="B48" s="27" t="s">
        <v>87</v>
      </c>
      <c r="C48">
        <v>0.14340889070829518</v>
      </c>
    </row>
    <row r="49" spans="1:3" x14ac:dyDescent="0.3">
      <c r="A49" s="26" t="s">
        <v>13</v>
      </c>
      <c r="B49" s="27" t="s">
        <v>88</v>
      </c>
      <c r="C49">
        <v>0</v>
      </c>
    </row>
    <row r="50" spans="1:3" x14ac:dyDescent="0.3">
      <c r="A50" s="26" t="s">
        <v>49</v>
      </c>
      <c r="B50" s="27" t="s">
        <v>89</v>
      </c>
      <c r="C50">
        <v>0</v>
      </c>
    </row>
    <row r="51" spans="1:3" x14ac:dyDescent="0.3">
      <c r="A51" s="25" t="s">
        <v>14</v>
      </c>
      <c r="B51" s="27" t="s">
        <v>90</v>
      </c>
      <c r="C51">
        <v>5.3034868168603505E-2</v>
      </c>
    </row>
    <row r="52" spans="1:3" x14ac:dyDescent="0.3">
      <c r="A52" s="26" t="s">
        <v>17</v>
      </c>
      <c r="B52" s="27" t="s">
        <v>91</v>
      </c>
      <c r="C52">
        <v>0</v>
      </c>
    </row>
    <row r="53" spans="1:3" x14ac:dyDescent="0.3">
      <c r="A53" s="25" t="s">
        <v>50</v>
      </c>
      <c r="B53" s="27" t="s">
        <v>92</v>
      </c>
      <c r="C53">
        <v>0</v>
      </c>
    </row>
    <row r="54" spans="1:3" x14ac:dyDescent="0.3">
      <c r="A54" s="25" t="s">
        <v>51</v>
      </c>
      <c r="B54" s="27" t="s">
        <v>93</v>
      </c>
      <c r="C54">
        <v>0</v>
      </c>
    </row>
    <row r="55" spans="1:3" x14ac:dyDescent="0.3">
      <c r="A55" s="25" t="s">
        <v>52</v>
      </c>
      <c r="B55" s="27" t="s">
        <v>94</v>
      </c>
      <c r="C55">
        <v>0.16567530856901991</v>
      </c>
    </row>
    <row r="56" spans="1:3" x14ac:dyDescent="0.3">
      <c r="A56" s="26" t="s">
        <v>53</v>
      </c>
      <c r="B56" s="27" t="s">
        <v>95</v>
      </c>
      <c r="C56">
        <v>0</v>
      </c>
    </row>
    <row r="57" spans="1:3" x14ac:dyDescent="0.3">
      <c r="A57" s="25" t="s">
        <v>15</v>
      </c>
      <c r="B57" s="27" t="s">
        <v>96</v>
      </c>
      <c r="C57">
        <v>0</v>
      </c>
    </row>
    <row r="58" spans="1:3" x14ac:dyDescent="0.3">
      <c r="A58" s="26" t="s">
        <v>54</v>
      </c>
      <c r="B58" s="27" t="s">
        <v>97</v>
      </c>
      <c r="C58">
        <v>0.16757903973370789</v>
      </c>
    </row>
    <row r="59" spans="1:3" x14ac:dyDescent="0.3">
      <c r="A59" s="26" t="s">
        <v>55</v>
      </c>
      <c r="B59" s="27" t="s">
        <v>98</v>
      </c>
      <c r="C59">
        <v>0</v>
      </c>
    </row>
    <row r="60" spans="1:3" x14ac:dyDescent="0.3">
      <c r="A60" s="26" t="s">
        <v>56</v>
      </c>
      <c r="B60" s="27" t="s">
        <v>99</v>
      </c>
      <c r="C60">
        <v>3.7332627683421535E-2</v>
      </c>
    </row>
    <row r="61" spans="1:3" x14ac:dyDescent="0.3">
      <c r="A61" s="26" t="s">
        <v>57</v>
      </c>
      <c r="B61" s="27" t="s">
        <v>100</v>
      </c>
      <c r="C61">
        <v>0</v>
      </c>
    </row>
    <row r="62" spans="1:3" x14ac:dyDescent="0.3">
      <c r="A62" s="26" t="s">
        <v>58</v>
      </c>
      <c r="B62" s="27" t="s">
        <v>101</v>
      </c>
      <c r="C62">
        <v>0</v>
      </c>
    </row>
    <row r="63" spans="1:3" x14ac:dyDescent="0.3">
      <c r="A63" s="26" t="s">
        <v>59</v>
      </c>
      <c r="B63" s="27" t="s">
        <v>102</v>
      </c>
      <c r="C63">
        <v>0</v>
      </c>
    </row>
    <row r="64" spans="1:3" x14ac:dyDescent="0.3">
      <c r="A64" s="26" t="s">
        <v>16</v>
      </c>
      <c r="B64" s="27" t="s">
        <v>103</v>
      </c>
      <c r="C64">
        <v>2.6070825260521333E-2</v>
      </c>
    </row>
    <row r="65" spans="1:33" x14ac:dyDescent="0.3">
      <c r="A65" s="26" t="s">
        <v>60</v>
      </c>
      <c r="B65" s="27" t="s">
        <v>104</v>
      </c>
      <c r="C65">
        <v>8.9067002486074454E-3</v>
      </c>
    </row>
    <row r="66" spans="1:33" x14ac:dyDescent="0.3">
      <c r="A66" s="26" t="s">
        <v>61</v>
      </c>
      <c r="B66" s="27" t="s">
        <v>105</v>
      </c>
      <c r="C66">
        <v>0</v>
      </c>
    </row>
    <row r="67" spans="1:33" x14ac:dyDescent="0.3">
      <c r="A67" s="26" t="s">
        <v>62</v>
      </c>
      <c r="B67" s="27" t="s">
        <v>106</v>
      </c>
      <c r="C67">
        <v>5.7345296826748958E-2</v>
      </c>
    </row>
    <row r="68" spans="1:33" x14ac:dyDescent="0.3">
      <c r="B68" s="27" t="s">
        <v>107</v>
      </c>
      <c r="C68">
        <f>SUM(C38:C67)</f>
        <v>0.99999999851051236</v>
      </c>
    </row>
    <row r="70" spans="1:33" x14ac:dyDescent="0.3">
      <c r="A70" t="s">
        <v>73</v>
      </c>
      <c r="B70" s="17" cm="1">
        <f t="array" ref="B70">MMULT(B34:AE34, C38:C67)</f>
        <v>1.0016520520072245E-2</v>
      </c>
    </row>
    <row r="71" spans="1:33" x14ac:dyDescent="0.3">
      <c r="A71" t="s">
        <v>74</v>
      </c>
      <c r="B71" s="17" cm="1">
        <f t="array" ref="B71">SQRT(MMULT(TRANSPOSE(C38:C67), MMULT(B3:AE32, C38:C67)))</f>
        <v>3.5259032765535839E-2</v>
      </c>
    </row>
    <row r="72" spans="1:33" ht="14.5" thickBot="1" x14ac:dyDescent="0.35">
      <c r="A72" t="s">
        <v>108</v>
      </c>
      <c r="B72" s="17">
        <f>(Portfolio_mean-C35)/Portfolio_sigma</f>
        <v>-1.1339925217406945</v>
      </c>
    </row>
    <row r="73" spans="1:33" ht="23.5" thickBot="1" x14ac:dyDescent="0.55000000000000004">
      <c r="D73" s="145" t="s">
        <v>134</v>
      </c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7"/>
    </row>
    <row r="74" spans="1:33" ht="14.5" thickBot="1" x14ac:dyDescent="0.35">
      <c r="A74" s="29" t="s">
        <v>109</v>
      </c>
      <c r="B74" s="30" t="s">
        <v>71</v>
      </c>
      <c r="C74" s="30" t="s">
        <v>67</v>
      </c>
      <c r="D74" s="55" t="s">
        <v>41</v>
      </c>
      <c r="E74" s="56" t="s">
        <v>42</v>
      </c>
      <c r="F74" s="56" t="s">
        <v>10</v>
      </c>
      <c r="G74" s="56" t="s">
        <v>43</v>
      </c>
      <c r="H74" s="57" t="s">
        <v>44</v>
      </c>
      <c r="I74" s="56" t="s">
        <v>45</v>
      </c>
      <c r="J74" s="57" t="s">
        <v>46</v>
      </c>
      <c r="K74" s="57" t="s">
        <v>47</v>
      </c>
      <c r="L74" s="56" t="s">
        <v>12</v>
      </c>
      <c r="M74" s="56" t="s">
        <v>48</v>
      </c>
      <c r="N74" s="56" t="s">
        <v>11</v>
      </c>
      <c r="O74" s="57" t="s">
        <v>13</v>
      </c>
      <c r="P74" s="57" t="s">
        <v>49</v>
      </c>
      <c r="Q74" s="56" t="s">
        <v>14</v>
      </c>
      <c r="R74" s="57" t="s">
        <v>17</v>
      </c>
      <c r="S74" s="56" t="s">
        <v>50</v>
      </c>
      <c r="T74" s="56" t="s">
        <v>51</v>
      </c>
      <c r="U74" s="56" t="s">
        <v>52</v>
      </c>
      <c r="V74" s="57" t="s">
        <v>53</v>
      </c>
      <c r="W74" s="56" t="s">
        <v>15</v>
      </c>
      <c r="X74" s="57" t="s">
        <v>54</v>
      </c>
      <c r="Y74" s="57" t="s">
        <v>55</v>
      </c>
      <c r="Z74" s="57" t="s">
        <v>56</v>
      </c>
      <c r="AA74" s="57" t="s">
        <v>57</v>
      </c>
      <c r="AB74" s="57" t="s">
        <v>58</v>
      </c>
      <c r="AC74" s="57" t="s">
        <v>59</v>
      </c>
      <c r="AD74" s="57" t="s">
        <v>16</v>
      </c>
      <c r="AE74" s="57" t="s">
        <v>60</v>
      </c>
      <c r="AF74" s="57" t="s">
        <v>61</v>
      </c>
      <c r="AG74" s="58" t="s">
        <v>62</v>
      </c>
    </row>
    <row r="75" spans="1:33" x14ac:dyDescent="0.3">
      <c r="A75" s="37">
        <v>-0.14799999999999999</v>
      </c>
      <c r="B75" s="65">
        <v>3.5654877638764522E-2</v>
      </c>
      <c r="C75" s="65">
        <v>1.3010320917839983E-2</v>
      </c>
      <c r="D75" s="38">
        <v>0.26048057601887947</v>
      </c>
      <c r="E75" s="39">
        <v>0</v>
      </c>
      <c r="F75" s="38">
        <v>1.0198798515149118E-2</v>
      </c>
      <c r="G75" s="39">
        <v>0</v>
      </c>
      <c r="H75" s="38">
        <v>2.625446731527387E-2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8">
        <v>0.17410196835729827</v>
      </c>
      <c r="O75" s="38">
        <v>1.6459399237855381E-2</v>
      </c>
      <c r="P75" s="39">
        <v>0</v>
      </c>
      <c r="Q75" s="39">
        <v>6.8497277152260533E-2</v>
      </c>
      <c r="R75" s="39">
        <v>0</v>
      </c>
      <c r="S75" s="39">
        <v>0</v>
      </c>
      <c r="T75" s="39">
        <v>0</v>
      </c>
      <c r="U75" s="39">
        <v>0.16282440374250029</v>
      </c>
      <c r="V75" s="39">
        <v>0</v>
      </c>
      <c r="W75" s="39">
        <v>0</v>
      </c>
      <c r="X75" s="39">
        <v>0.17173146482131027</v>
      </c>
      <c r="Y75" s="39">
        <v>0</v>
      </c>
      <c r="Z75" s="39">
        <v>2.1742297096162558E-2</v>
      </c>
      <c r="AA75" s="39">
        <v>0</v>
      </c>
      <c r="AB75" s="39">
        <v>0</v>
      </c>
      <c r="AC75" s="39">
        <v>0</v>
      </c>
      <c r="AD75" s="39">
        <v>5.0264193529326005E-2</v>
      </c>
      <c r="AE75" s="39">
        <v>1.2820184896453899E-2</v>
      </c>
      <c r="AF75" s="39">
        <v>0</v>
      </c>
      <c r="AG75" s="40">
        <v>2.4624968674923198E-2</v>
      </c>
    </row>
    <row r="76" spans="1:33" x14ac:dyDescent="0.3">
      <c r="A76" s="41">
        <v>-0.14599999999999999</v>
      </c>
      <c r="B76" s="66">
        <v>3.5553577044688991E-2</v>
      </c>
      <c r="C76" s="66">
        <v>1.2668072222923875E-2</v>
      </c>
      <c r="D76" s="7">
        <v>0.28494264262167418</v>
      </c>
      <c r="E76">
        <v>0</v>
      </c>
      <c r="F76" s="7">
        <v>9.8854239145513799E-3</v>
      </c>
      <c r="G76">
        <v>0</v>
      </c>
      <c r="H76" s="7">
        <v>2.4747968121271637E-2</v>
      </c>
      <c r="I76">
        <v>0</v>
      </c>
      <c r="J76">
        <v>0</v>
      </c>
      <c r="K76">
        <v>0</v>
      </c>
      <c r="L76">
        <v>0</v>
      </c>
      <c r="M76">
        <v>0</v>
      </c>
      <c r="N76" s="7">
        <v>0.16905919355477189</v>
      </c>
      <c r="O76" s="7">
        <v>1.6043931840757489E-2</v>
      </c>
      <c r="P76">
        <v>0</v>
      </c>
      <c r="Q76">
        <v>6.8421406300404441E-2</v>
      </c>
      <c r="R76">
        <v>0</v>
      </c>
      <c r="S76">
        <v>0</v>
      </c>
      <c r="T76">
        <v>0</v>
      </c>
      <c r="U76">
        <v>0.15943343678502866</v>
      </c>
      <c r="V76">
        <v>0</v>
      </c>
      <c r="W76">
        <v>0</v>
      </c>
      <c r="X76">
        <v>0.18033322368843041</v>
      </c>
      <c r="Y76">
        <v>0</v>
      </c>
      <c r="Z76">
        <v>1.4564105180657519E-2</v>
      </c>
      <c r="AA76">
        <v>0</v>
      </c>
      <c r="AB76">
        <v>0</v>
      </c>
      <c r="AC76">
        <v>0</v>
      </c>
      <c r="AD76">
        <v>4.526162220952927E-2</v>
      </c>
      <c r="AE76">
        <v>5.9540266071209908E-6</v>
      </c>
      <c r="AF76">
        <v>0</v>
      </c>
      <c r="AG76" s="9">
        <v>2.7301090625372698E-2</v>
      </c>
    </row>
    <row r="77" spans="1:33" x14ac:dyDescent="0.3">
      <c r="A77" s="41">
        <v>-0.14399999999999999</v>
      </c>
      <c r="B77" s="66">
        <v>3.555918862266217E-2</v>
      </c>
      <c r="C77" s="66">
        <v>1.2693248175831503E-2</v>
      </c>
      <c r="D77" s="7">
        <v>0.28402074393118049</v>
      </c>
      <c r="E77">
        <v>0</v>
      </c>
      <c r="F77" s="7">
        <v>9.8588343418242168E-3</v>
      </c>
      <c r="G77">
        <v>0</v>
      </c>
      <c r="H77" s="7">
        <v>2.4782513574827067E-2</v>
      </c>
      <c r="I77">
        <v>0</v>
      </c>
      <c r="J77">
        <v>0</v>
      </c>
      <c r="K77">
        <v>0</v>
      </c>
      <c r="L77">
        <v>0</v>
      </c>
      <c r="M77">
        <v>0</v>
      </c>
      <c r="N77" s="7">
        <v>0.1697081972133665</v>
      </c>
      <c r="O77" s="7">
        <v>1.6059473272281917E-2</v>
      </c>
      <c r="P77">
        <v>0</v>
      </c>
      <c r="Q77">
        <v>6.8547042474437353E-2</v>
      </c>
      <c r="R77">
        <v>0</v>
      </c>
      <c r="S77">
        <v>0</v>
      </c>
      <c r="T77">
        <v>0</v>
      </c>
      <c r="U77">
        <v>0.15880469119220589</v>
      </c>
      <c r="V77">
        <v>0</v>
      </c>
      <c r="W77">
        <v>0</v>
      </c>
      <c r="X77">
        <v>0.18020693599481791</v>
      </c>
      <c r="Y77">
        <v>0</v>
      </c>
      <c r="Z77">
        <v>1.4547814497692171E-2</v>
      </c>
      <c r="AA77">
        <v>0</v>
      </c>
      <c r="AB77">
        <v>0</v>
      </c>
      <c r="AC77">
        <v>0</v>
      </c>
      <c r="AD77">
        <v>4.5311656938016767E-2</v>
      </c>
      <c r="AE77">
        <v>9.0014060515009769E-4</v>
      </c>
      <c r="AF77">
        <v>0</v>
      </c>
      <c r="AG77" s="9">
        <v>2.7251954912263593E-2</v>
      </c>
    </row>
    <row r="78" spans="1:33" x14ac:dyDescent="0.3">
      <c r="A78" s="41">
        <v>-0.14199999999999999</v>
      </c>
      <c r="B78" s="66">
        <v>3.555918862266217E-2</v>
      </c>
      <c r="C78" s="66">
        <v>1.2693248175831503E-2</v>
      </c>
      <c r="D78" s="7">
        <v>0.28402074393118049</v>
      </c>
      <c r="E78">
        <v>0</v>
      </c>
      <c r="F78" s="7">
        <v>9.8588343418242168E-3</v>
      </c>
      <c r="G78">
        <v>0</v>
      </c>
      <c r="H78" s="7">
        <v>2.4782513574827067E-2</v>
      </c>
      <c r="I78">
        <v>0</v>
      </c>
      <c r="J78">
        <v>0</v>
      </c>
      <c r="K78">
        <v>0</v>
      </c>
      <c r="L78">
        <v>0</v>
      </c>
      <c r="M78">
        <v>0</v>
      </c>
      <c r="N78" s="7">
        <v>0.1697081972133665</v>
      </c>
      <c r="O78" s="7">
        <v>1.6059473272281917E-2</v>
      </c>
      <c r="P78">
        <v>0</v>
      </c>
      <c r="Q78">
        <v>6.8547042474437353E-2</v>
      </c>
      <c r="R78">
        <v>0</v>
      </c>
      <c r="S78">
        <v>0</v>
      </c>
      <c r="T78">
        <v>0</v>
      </c>
      <c r="U78">
        <v>0.15880469119220589</v>
      </c>
      <c r="V78">
        <v>0</v>
      </c>
      <c r="W78">
        <v>0</v>
      </c>
      <c r="X78">
        <v>0.18020693599481791</v>
      </c>
      <c r="Y78">
        <v>0</v>
      </c>
      <c r="Z78">
        <v>1.4547814497692171E-2</v>
      </c>
      <c r="AA78">
        <v>0</v>
      </c>
      <c r="AB78">
        <v>0</v>
      </c>
      <c r="AC78">
        <v>0</v>
      </c>
      <c r="AD78">
        <v>4.5311656938016767E-2</v>
      </c>
      <c r="AE78">
        <v>9.0014060515009769E-4</v>
      </c>
      <c r="AF78">
        <v>0</v>
      </c>
      <c r="AG78" s="9">
        <v>2.7251954912263593E-2</v>
      </c>
    </row>
    <row r="79" spans="1:33" x14ac:dyDescent="0.3">
      <c r="A79" s="41">
        <v>-0.13999999999999999</v>
      </c>
      <c r="B79" s="66">
        <v>3.555918862266217E-2</v>
      </c>
      <c r="C79" s="66">
        <v>1.2693248175831503E-2</v>
      </c>
      <c r="D79" s="7">
        <v>0.28402074393118049</v>
      </c>
      <c r="E79">
        <v>0</v>
      </c>
      <c r="F79" s="7">
        <v>9.8588343418242168E-3</v>
      </c>
      <c r="G79">
        <v>0</v>
      </c>
      <c r="H79" s="7">
        <v>2.4782513574827067E-2</v>
      </c>
      <c r="I79">
        <v>0</v>
      </c>
      <c r="J79">
        <v>0</v>
      </c>
      <c r="K79">
        <v>0</v>
      </c>
      <c r="L79">
        <v>0</v>
      </c>
      <c r="M79">
        <v>0</v>
      </c>
      <c r="N79" s="7">
        <v>0.1697081972133665</v>
      </c>
      <c r="O79" s="7">
        <v>1.6059473272281917E-2</v>
      </c>
      <c r="P79">
        <v>0</v>
      </c>
      <c r="Q79">
        <v>6.8547042474437353E-2</v>
      </c>
      <c r="R79">
        <v>0</v>
      </c>
      <c r="S79">
        <v>0</v>
      </c>
      <c r="T79">
        <v>0</v>
      </c>
      <c r="U79">
        <v>0.15880469119220589</v>
      </c>
      <c r="V79">
        <v>0</v>
      </c>
      <c r="W79">
        <v>0</v>
      </c>
      <c r="X79">
        <v>0.18020693599481791</v>
      </c>
      <c r="Y79">
        <v>0</v>
      </c>
      <c r="Z79">
        <v>1.4547814497692171E-2</v>
      </c>
      <c r="AA79">
        <v>0</v>
      </c>
      <c r="AB79">
        <v>0</v>
      </c>
      <c r="AC79">
        <v>0</v>
      </c>
      <c r="AD79">
        <v>4.5311656938016767E-2</v>
      </c>
      <c r="AE79">
        <v>9.0014060515009769E-4</v>
      </c>
      <c r="AF79">
        <v>0</v>
      </c>
      <c r="AG79" s="9">
        <v>2.7251954912263593E-2</v>
      </c>
    </row>
    <row r="80" spans="1:33" x14ac:dyDescent="0.3">
      <c r="A80" s="41">
        <v>-0.13799999999999998</v>
      </c>
      <c r="B80" s="66">
        <v>3.555918862266217E-2</v>
      </c>
      <c r="C80" s="66">
        <v>1.2693248175831503E-2</v>
      </c>
      <c r="D80" s="7">
        <v>0.28402074393118049</v>
      </c>
      <c r="E80">
        <v>0</v>
      </c>
      <c r="F80" s="7">
        <v>9.8588343418242168E-3</v>
      </c>
      <c r="G80">
        <v>0</v>
      </c>
      <c r="H80" s="7">
        <v>2.4782513574827067E-2</v>
      </c>
      <c r="I80">
        <v>0</v>
      </c>
      <c r="J80">
        <v>0</v>
      </c>
      <c r="K80">
        <v>0</v>
      </c>
      <c r="L80">
        <v>0</v>
      </c>
      <c r="M80">
        <v>0</v>
      </c>
      <c r="N80" s="7">
        <v>0.1697081972133665</v>
      </c>
      <c r="O80" s="7">
        <v>1.6059473272281917E-2</v>
      </c>
      <c r="P80">
        <v>0</v>
      </c>
      <c r="Q80">
        <v>6.8547042474437353E-2</v>
      </c>
      <c r="R80">
        <v>0</v>
      </c>
      <c r="S80">
        <v>0</v>
      </c>
      <c r="T80">
        <v>0</v>
      </c>
      <c r="U80">
        <v>0.15880469119220589</v>
      </c>
      <c r="V80">
        <v>0</v>
      </c>
      <c r="W80">
        <v>0</v>
      </c>
      <c r="X80">
        <v>0.18020693599481791</v>
      </c>
      <c r="Y80">
        <v>0</v>
      </c>
      <c r="Z80">
        <v>1.4547814497692171E-2</v>
      </c>
      <c r="AA80">
        <v>0</v>
      </c>
      <c r="AB80">
        <v>0</v>
      </c>
      <c r="AC80">
        <v>0</v>
      </c>
      <c r="AD80">
        <v>4.5311656938016767E-2</v>
      </c>
      <c r="AE80">
        <v>9.0014060515009769E-4</v>
      </c>
      <c r="AF80">
        <v>0</v>
      </c>
      <c r="AG80" s="9">
        <v>2.7251954912263593E-2</v>
      </c>
    </row>
    <row r="81" spans="1:33" x14ac:dyDescent="0.3">
      <c r="A81" s="31">
        <v>-0.13599999999999998</v>
      </c>
      <c r="B81" s="67">
        <v>3.555918862266217E-2</v>
      </c>
      <c r="C81" s="67">
        <v>1.2693248175831503E-2</v>
      </c>
      <c r="D81" s="35">
        <v>0.28402074393118049</v>
      </c>
      <c r="E81" s="36">
        <v>0</v>
      </c>
      <c r="F81" s="35">
        <v>9.8588343418242168E-3</v>
      </c>
      <c r="G81" s="36">
        <v>0</v>
      </c>
      <c r="H81" s="35">
        <v>2.4782513574827067E-2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5">
        <v>0.1697081972133665</v>
      </c>
      <c r="O81" s="35">
        <v>1.6059473272281917E-2</v>
      </c>
      <c r="P81" s="36">
        <v>0</v>
      </c>
      <c r="Q81" s="36">
        <v>6.8547042474437353E-2</v>
      </c>
      <c r="R81" s="36">
        <v>0</v>
      </c>
      <c r="S81" s="36">
        <v>0</v>
      </c>
      <c r="T81" s="36">
        <v>0</v>
      </c>
      <c r="U81" s="36">
        <v>0.15880469119220589</v>
      </c>
      <c r="V81" s="36">
        <v>0</v>
      </c>
      <c r="W81" s="36">
        <v>0</v>
      </c>
      <c r="X81" s="36">
        <v>0.18020693599481791</v>
      </c>
      <c r="Y81" s="36">
        <v>0</v>
      </c>
      <c r="Z81" s="36">
        <v>1.4547814497692171E-2</v>
      </c>
      <c r="AA81" s="36">
        <v>0</v>
      </c>
      <c r="AB81" s="36">
        <v>0</v>
      </c>
      <c r="AC81" s="36">
        <v>0</v>
      </c>
      <c r="AD81" s="36">
        <v>4.5311656938016767E-2</v>
      </c>
      <c r="AE81" s="36">
        <v>9.0014060515009769E-4</v>
      </c>
      <c r="AF81" s="36">
        <v>0</v>
      </c>
      <c r="AG81" s="33">
        <v>2.7251954912263593E-2</v>
      </c>
    </row>
    <row r="82" spans="1:33" x14ac:dyDescent="0.3">
      <c r="A82" s="31">
        <v>-0.13400000000000001</v>
      </c>
      <c r="B82" s="67">
        <v>3.5608839777068343E-2</v>
      </c>
      <c r="C82" s="67">
        <v>1.2906410596542904E-2</v>
      </c>
      <c r="D82" s="35">
        <v>0.2795654142811887</v>
      </c>
      <c r="E82" s="36">
        <v>0</v>
      </c>
      <c r="F82" s="35">
        <v>1.037877069363533E-2</v>
      </c>
      <c r="G82" s="36">
        <v>0</v>
      </c>
      <c r="H82" s="35">
        <v>2.9348721529371846E-2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5">
        <v>0.17175992462023784</v>
      </c>
      <c r="O82" s="35">
        <v>1.8277133497189381E-2</v>
      </c>
      <c r="P82" s="36">
        <v>0</v>
      </c>
      <c r="Q82" s="36">
        <v>6.952368579060493E-2</v>
      </c>
      <c r="R82" s="36">
        <v>0</v>
      </c>
      <c r="S82" s="36">
        <v>0</v>
      </c>
      <c r="T82" s="36">
        <v>0</v>
      </c>
      <c r="U82" s="36">
        <v>0.15912971216446883</v>
      </c>
      <c r="V82" s="36">
        <v>0</v>
      </c>
      <c r="W82" s="36">
        <v>0</v>
      </c>
      <c r="X82" s="36">
        <v>0.1801950183316321</v>
      </c>
      <c r="Y82" s="36">
        <v>0</v>
      </c>
      <c r="Z82" s="36">
        <v>1.2648428307318292E-2</v>
      </c>
      <c r="AA82" s="36">
        <v>0</v>
      </c>
      <c r="AB82" s="36">
        <v>0</v>
      </c>
      <c r="AC82" s="36">
        <v>0</v>
      </c>
      <c r="AD82" s="36">
        <v>4.6713455869665493E-2</v>
      </c>
      <c r="AE82" s="36">
        <v>8.9847605753148689E-4</v>
      </c>
      <c r="AF82" s="36">
        <v>0</v>
      </c>
      <c r="AG82" s="33">
        <v>2.1561258013684297E-2</v>
      </c>
    </row>
    <row r="83" spans="1:33" x14ac:dyDescent="0.3">
      <c r="A83" s="31">
        <v>-0.13200000000000001</v>
      </c>
      <c r="B83" s="67">
        <v>3.5608839777068343E-2</v>
      </c>
      <c r="C83" s="67">
        <v>1.2906410596542904E-2</v>
      </c>
      <c r="D83" s="35">
        <v>0.2795654142811887</v>
      </c>
      <c r="E83" s="36">
        <v>0</v>
      </c>
      <c r="F83" s="35">
        <v>1.037877069363533E-2</v>
      </c>
      <c r="G83" s="36">
        <v>0</v>
      </c>
      <c r="H83" s="35">
        <v>2.9348721529371846E-2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5">
        <v>0.17175992462023784</v>
      </c>
      <c r="O83" s="35">
        <v>1.8277133497189381E-2</v>
      </c>
      <c r="P83" s="36">
        <v>0</v>
      </c>
      <c r="Q83" s="36">
        <v>6.952368579060493E-2</v>
      </c>
      <c r="R83" s="36">
        <v>0</v>
      </c>
      <c r="S83" s="36">
        <v>0</v>
      </c>
      <c r="T83" s="36">
        <v>0</v>
      </c>
      <c r="U83" s="36">
        <v>0.15912971216446883</v>
      </c>
      <c r="V83" s="36">
        <v>0</v>
      </c>
      <c r="W83" s="36">
        <v>0</v>
      </c>
      <c r="X83" s="36">
        <v>0.1801950183316321</v>
      </c>
      <c r="Y83" s="36">
        <v>0</v>
      </c>
      <c r="Z83" s="36">
        <v>1.2648428307318292E-2</v>
      </c>
      <c r="AA83" s="36">
        <v>0</v>
      </c>
      <c r="AB83" s="36">
        <v>0</v>
      </c>
      <c r="AC83" s="36">
        <v>0</v>
      </c>
      <c r="AD83" s="36">
        <v>4.6713455869665493E-2</v>
      </c>
      <c r="AE83" s="36">
        <v>8.9847605753148689E-4</v>
      </c>
      <c r="AF83" s="36">
        <v>0</v>
      </c>
      <c r="AG83" s="33">
        <v>2.1561258013684297E-2</v>
      </c>
    </row>
    <row r="84" spans="1:33" x14ac:dyDescent="0.3">
      <c r="A84" s="31">
        <v>-0.13</v>
      </c>
      <c r="B84" s="67">
        <v>3.5608839777068343E-2</v>
      </c>
      <c r="C84" s="67">
        <v>1.2906410596542904E-2</v>
      </c>
      <c r="D84" s="35">
        <v>0.2795654142811887</v>
      </c>
      <c r="E84" s="36">
        <v>0</v>
      </c>
      <c r="F84" s="35">
        <v>1.037877069363533E-2</v>
      </c>
      <c r="G84" s="36">
        <v>0</v>
      </c>
      <c r="H84" s="35">
        <v>2.9348721529371846E-2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5">
        <v>0.17175992462023784</v>
      </c>
      <c r="O84" s="35">
        <v>1.8277133497189381E-2</v>
      </c>
      <c r="P84" s="36">
        <v>0</v>
      </c>
      <c r="Q84" s="36">
        <v>6.952368579060493E-2</v>
      </c>
      <c r="R84" s="36">
        <v>0</v>
      </c>
      <c r="S84" s="36">
        <v>0</v>
      </c>
      <c r="T84" s="36">
        <v>0</v>
      </c>
      <c r="U84" s="36">
        <v>0.15912971216446883</v>
      </c>
      <c r="V84" s="36">
        <v>0</v>
      </c>
      <c r="W84" s="36">
        <v>0</v>
      </c>
      <c r="X84" s="36">
        <v>0.1801950183316321</v>
      </c>
      <c r="Y84" s="36">
        <v>0</v>
      </c>
      <c r="Z84" s="36">
        <v>1.2648428307318292E-2</v>
      </c>
      <c r="AA84" s="36">
        <v>0</v>
      </c>
      <c r="AB84" s="36">
        <v>0</v>
      </c>
      <c r="AC84" s="36">
        <v>0</v>
      </c>
      <c r="AD84" s="36">
        <v>4.6713455869665493E-2</v>
      </c>
      <c r="AE84" s="36">
        <v>8.9847605753148689E-4</v>
      </c>
      <c r="AF84" s="36">
        <v>0</v>
      </c>
      <c r="AG84" s="33">
        <v>2.1561258013684297E-2</v>
      </c>
    </row>
    <row r="85" spans="1:33" x14ac:dyDescent="0.3">
      <c r="A85" s="31">
        <v>-0.128</v>
      </c>
      <c r="B85" s="67">
        <v>3.5608839777068343E-2</v>
      </c>
      <c r="C85" s="67">
        <v>1.2906410596542904E-2</v>
      </c>
      <c r="D85" s="35">
        <v>0.2795654142811887</v>
      </c>
      <c r="E85" s="36">
        <v>0</v>
      </c>
      <c r="F85" s="35">
        <v>1.037877069363533E-2</v>
      </c>
      <c r="G85" s="36">
        <v>0</v>
      </c>
      <c r="H85" s="35">
        <v>2.9348721529371846E-2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5">
        <v>0.17175992462023784</v>
      </c>
      <c r="O85" s="35">
        <v>1.8277133497189381E-2</v>
      </c>
      <c r="P85" s="36">
        <v>0</v>
      </c>
      <c r="Q85" s="36">
        <v>6.952368579060493E-2</v>
      </c>
      <c r="R85" s="36">
        <v>0</v>
      </c>
      <c r="S85" s="36">
        <v>0</v>
      </c>
      <c r="T85" s="36">
        <v>0</v>
      </c>
      <c r="U85" s="36">
        <v>0.15912971216446883</v>
      </c>
      <c r="V85" s="36">
        <v>0</v>
      </c>
      <c r="W85" s="36">
        <v>0</v>
      </c>
      <c r="X85" s="36">
        <v>0.1801950183316321</v>
      </c>
      <c r="Y85" s="36">
        <v>0</v>
      </c>
      <c r="Z85" s="36">
        <v>1.2648428307318292E-2</v>
      </c>
      <c r="AA85" s="36">
        <v>0</v>
      </c>
      <c r="AB85" s="36">
        <v>0</v>
      </c>
      <c r="AC85" s="36">
        <v>0</v>
      </c>
      <c r="AD85" s="36">
        <v>4.6713455869665493E-2</v>
      </c>
      <c r="AE85" s="36">
        <v>8.9847605753148689E-4</v>
      </c>
      <c r="AF85" s="36">
        <v>0</v>
      </c>
      <c r="AG85" s="33">
        <v>2.1561258013684297E-2</v>
      </c>
    </row>
    <row r="86" spans="1:33" x14ac:dyDescent="0.3">
      <c r="A86" s="31">
        <v>-0.126</v>
      </c>
      <c r="B86" s="67">
        <v>3.5608839777068343E-2</v>
      </c>
      <c r="C86" s="67">
        <v>1.2906410596542904E-2</v>
      </c>
      <c r="D86" s="35">
        <v>0.2795654142811887</v>
      </c>
      <c r="E86" s="36">
        <v>0</v>
      </c>
      <c r="F86" s="35">
        <v>1.037877069363533E-2</v>
      </c>
      <c r="G86" s="36">
        <v>0</v>
      </c>
      <c r="H86" s="35">
        <v>2.9348721529371846E-2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5">
        <v>0.17175992462023784</v>
      </c>
      <c r="O86" s="35">
        <v>1.8277133497189381E-2</v>
      </c>
      <c r="P86" s="36">
        <v>0</v>
      </c>
      <c r="Q86" s="36">
        <v>6.952368579060493E-2</v>
      </c>
      <c r="R86" s="36">
        <v>0</v>
      </c>
      <c r="S86" s="36">
        <v>0</v>
      </c>
      <c r="T86" s="36">
        <v>0</v>
      </c>
      <c r="U86" s="36">
        <v>0.15912971216446883</v>
      </c>
      <c r="V86" s="36">
        <v>0</v>
      </c>
      <c r="W86" s="36">
        <v>0</v>
      </c>
      <c r="X86" s="36">
        <v>0.1801950183316321</v>
      </c>
      <c r="Y86" s="36">
        <v>0</v>
      </c>
      <c r="Z86" s="36">
        <v>1.2648428307318292E-2</v>
      </c>
      <c r="AA86" s="36">
        <v>0</v>
      </c>
      <c r="AB86" s="36">
        <v>0</v>
      </c>
      <c r="AC86" s="36">
        <v>0</v>
      </c>
      <c r="AD86" s="36">
        <v>4.6713455869665493E-2</v>
      </c>
      <c r="AE86" s="36">
        <v>8.9847605753148689E-4</v>
      </c>
      <c r="AF86" s="36">
        <v>0</v>
      </c>
      <c r="AG86" s="33">
        <v>2.1561258013684297E-2</v>
      </c>
    </row>
    <row r="87" spans="1:33" x14ac:dyDescent="0.3">
      <c r="A87" s="31">
        <v>-0.124</v>
      </c>
      <c r="B87" s="67">
        <v>3.5664944954026313E-2</v>
      </c>
      <c r="C87" s="67">
        <v>1.3129734158328722E-2</v>
      </c>
      <c r="D87" s="35">
        <v>0.275244519581405</v>
      </c>
      <c r="E87" s="36">
        <v>0</v>
      </c>
      <c r="F87" s="35">
        <v>1.1332570484476162E-2</v>
      </c>
      <c r="G87" s="36">
        <v>0</v>
      </c>
      <c r="H87" s="35">
        <v>2.9743656473060584E-2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5">
        <v>0.17388448187680752</v>
      </c>
      <c r="O87" s="35">
        <v>2.0524482508532178E-2</v>
      </c>
      <c r="P87" s="36">
        <v>0</v>
      </c>
      <c r="Q87" s="36">
        <v>7.0714739099113938E-2</v>
      </c>
      <c r="R87" s="36">
        <v>0</v>
      </c>
      <c r="S87" s="36">
        <v>0</v>
      </c>
      <c r="T87" s="36">
        <v>0</v>
      </c>
      <c r="U87" s="36">
        <v>0.15912363427218174</v>
      </c>
      <c r="V87" s="36">
        <v>0</v>
      </c>
      <c r="W87" s="36">
        <v>0</v>
      </c>
      <c r="X87" s="36">
        <v>0.17934986620888121</v>
      </c>
      <c r="Y87" s="36">
        <v>0</v>
      </c>
      <c r="Z87" s="36">
        <v>1.1204733104145789E-2</v>
      </c>
      <c r="AA87" s="36">
        <v>0</v>
      </c>
      <c r="AB87" s="36">
        <v>0</v>
      </c>
      <c r="AC87" s="36">
        <v>0</v>
      </c>
      <c r="AD87" s="36">
        <v>4.808157852600034E-2</v>
      </c>
      <c r="AE87" s="36">
        <v>8.9570362549880084E-4</v>
      </c>
      <c r="AF87" s="36">
        <v>0</v>
      </c>
      <c r="AG87" s="33">
        <v>1.9900033670036704E-2</v>
      </c>
    </row>
    <row r="88" spans="1:33" x14ac:dyDescent="0.3">
      <c r="A88" s="31">
        <v>-0.122</v>
      </c>
      <c r="B88" s="67">
        <v>3.5664944954026313E-2</v>
      </c>
      <c r="C88" s="67">
        <v>1.3129734158328722E-2</v>
      </c>
      <c r="D88" s="35">
        <v>0.275244519581405</v>
      </c>
      <c r="E88" s="36">
        <v>0</v>
      </c>
      <c r="F88" s="35">
        <v>1.1332570484476162E-2</v>
      </c>
      <c r="G88" s="36">
        <v>0</v>
      </c>
      <c r="H88" s="35">
        <v>2.9743656473060584E-2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5">
        <v>0.17388448187680752</v>
      </c>
      <c r="O88" s="35">
        <v>2.0524482508532178E-2</v>
      </c>
      <c r="P88" s="36">
        <v>0</v>
      </c>
      <c r="Q88" s="36">
        <v>7.0714739099113938E-2</v>
      </c>
      <c r="R88" s="36">
        <v>0</v>
      </c>
      <c r="S88" s="36">
        <v>0</v>
      </c>
      <c r="T88" s="36">
        <v>0</v>
      </c>
      <c r="U88" s="36">
        <v>0.15912363427218174</v>
      </c>
      <c r="V88" s="36">
        <v>0</v>
      </c>
      <c r="W88" s="36">
        <v>0</v>
      </c>
      <c r="X88" s="36">
        <v>0.17934986620888121</v>
      </c>
      <c r="Y88" s="36">
        <v>0</v>
      </c>
      <c r="Z88" s="36">
        <v>1.1204733104145789E-2</v>
      </c>
      <c r="AA88" s="36">
        <v>0</v>
      </c>
      <c r="AB88" s="36">
        <v>0</v>
      </c>
      <c r="AC88" s="36">
        <v>0</v>
      </c>
      <c r="AD88" s="36">
        <v>4.808157852600034E-2</v>
      </c>
      <c r="AE88" s="36">
        <v>8.9570362549880084E-4</v>
      </c>
      <c r="AF88" s="36">
        <v>0</v>
      </c>
      <c r="AG88" s="33">
        <v>1.9900033670036704E-2</v>
      </c>
    </row>
    <row r="89" spans="1:33" x14ac:dyDescent="0.3">
      <c r="A89" s="31">
        <v>-0.12</v>
      </c>
      <c r="B89" s="67">
        <v>3.5664944954026313E-2</v>
      </c>
      <c r="C89" s="67">
        <v>1.3129734158328722E-2</v>
      </c>
      <c r="D89" s="35">
        <v>0.275244519581405</v>
      </c>
      <c r="E89" s="36">
        <v>0</v>
      </c>
      <c r="F89" s="35">
        <v>1.1332570484476162E-2</v>
      </c>
      <c r="G89" s="36">
        <v>0</v>
      </c>
      <c r="H89" s="35">
        <v>2.9743656473060584E-2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5">
        <v>0.17388448187680752</v>
      </c>
      <c r="O89" s="35">
        <v>2.0524482508532178E-2</v>
      </c>
      <c r="P89" s="36">
        <v>0</v>
      </c>
      <c r="Q89" s="36">
        <v>7.0714739099113938E-2</v>
      </c>
      <c r="R89" s="36">
        <v>0</v>
      </c>
      <c r="S89" s="36">
        <v>0</v>
      </c>
      <c r="T89" s="36">
        <v>0</v>
      </c>
      <c r="U89" s="36">
        <v>0.15912363427218174</v>
      </c>
      <c r="V89" s="36">
        <v>0</v>
      </c>
      <c r="W89" s="36">
        <v>0</v>
      </c>
      <c r="X89" s="36">
        <v>0.17934986620888121</v>
      </c>
      <c r="Y89" s="36">
        <v>0</v>
      </c>
      <c r="Z89" s="36">
        <v>1.1204733104145789E-2</v>
      </c>
      <c r="AA89" s="36">
        <v>0</v>
      </c>
      <c r="AB89" s="36">
        <v>0</v>
      </c>
      <c r="AC89" s="36">
        <v>0</v>
      </c>
      <c r="AD89" s="36">
        <v>4.808157852600034E-2</v>
      </c>
      <c r="AE89" s="36">
        <v>8.9570362549880084E-4</v>
      </c>
      <c r="AF89" s="36">
        <v>0</v>
      </c>
      <c r="AG89" s="33">
        <v>1.9900033670036704E-2</v>
      </c>
    </row>
    <row r="90" spans="1:33" x14ac:dyDescent="0.3">
      <c r="A90" s="31">
        <v>-0.11799999999999999</v>
      </c>
      <c r="B90" s="67">
        <v>3.5664944954026313E-2</v>
      </c>
      <c r="C90" s="67">
        <v>1.3129734158328722E-2</v>
      </c>
      <c r="D90" s="35">
        <v>0.275244519581405</v>
      </c>
      <c r="E90" s="36">
        <v>0</v>
      </c>
      <c r="F90" s="35">
        <v>1.1332570484476162E-2</v>
      </c>
      <c r="G90" s="36">
        <v>0</v>
      </c>
      <c r="H90" s="35">
        <v>2.9743656473060584E-2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5">
        <v>0.17388448187680752</v>
      </c>
      <c r="O90" s="35">
        <v>2.0524482508532178E-2</v>
      </c>
      <c r="P90" s="36">
        <v>0</v>
      </c>
      <c r="Q90" s="36">
        <v>7.0714739099113938E-2</v>
      </c>
      <c r="R90" s="36">
        <v>0</v>
      </c>
      <c r="S90" s="36">
        <v>0</v>
      </c>
      <c r="T90" s="36">
        <v>0</v>
      </c>
      <c r="U90" s="36">
        <v>0.15912363427218174</v>
      </c>
      <c r="V90" s="36">
        <v>0</v>
      </c>
      <c r="W90" s="36">
        <v>0</v>
      </c>
      <c r="X90" s="36">
        <v>0.17934986620888121</v>
      </c>
      <c r="Y90" s="36">
        <v>0</v>
      </c>
      <c r="Z90" s="36">
        <v>1.1204733104145789E-2</v>
      </c>
      <c r="AA90" s="36">
        <v>0</v>
      </c>
      <c r="AB90" s="36">
        <v>0</v>
      </c>
      <c r="AC90" s="36">
        <v>0</v>
      </c>
      <c r="AD90" s="36">
        <v>4.808157852600034E-2</v>
      </c>
      <c r="AE90" s="36">
        <v>8.9570362549880084E-4</v>
      </c>
      <c r="AF90" s="36">
        <v>0</v>
      </c>
      <c r="AG90" s="33">
        <v>1.9900033670036704E-2</v>
      </c>
    </row>
    <row r="91" spans="1:33" x14ac:dyDescent="0.3">
      <c r="A91" s="31">
        <v>-0.11599999999999999</v>
      </c>
      <c r="B91" s="67">
        <v>3.5716483783655294E-2</v>
      </c>
      <c r="C91" s="67">
        <v>1.332197631492887E-2</v>
      </c>
      <c r="D91" s="35">
        <v>0.27135910672861813</v>
      </c>
      <c r="E91" s="36">
        <v>0</v>
      </c>
      <c r="F91" s="35">
        <v>1.2386400238080752E-2</v>
      </c>
      <c r="G91" s="36">
        <v>0</v>
      </c>
      <c r="H91" s="35">
        <v>2.9790211026756525E-2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5">
        <v>0.1757841821305906</v>
      </c>
      <c r="O91" s="35">
        <v>2.1472251568265984E-2</v>
      </c>
      <c r="P91" s="36">
        <v>0</v>
      </c>
      <c r="Q91" s="36">
        <v>7.1869492009179858E-2</v>
      </c>
      <c r="R91" s="36">
        <v>0</v>
      </c>
      <c r="S91" s="36">
        <v>0</v>
      </c>
      <c r="T91" s="36">
        <v>0</v>
      </c>
      <c r="U91" s="36">
        <v>0.15888107840952329</v>
      </c>
      <c r="V91" s="36">
        <v>0</v>
      </c>
      <c r="W91" s="36">
        <v>0</v>
      </c>
      <c r="X91" s="36">
        <v>0.17853197767612655</v>
      </c>
      <c r="Y91" s="36">
        <v>0</v>
      </c>
      <c r="Z91" s="36">
        <v>1.0624759798448851E-2</v>
      </c>
      <c r="AA91" s="36">
        <v>0</v>
      </c>
      <c r="AB91" s="36">
        <v>0</v>
      </c>
      <c r="AC91" s="36">
        <v>0</v>
      </c>
      <c r="AD91" s="36">
        <v>4.964207584625073E-2</v>
      </c>
      <c r="AE91" s="36">
        <v>8.9394290379059011E-4</v>
      </c>
      <c r="AF91" s="36">
        <v>0</v>
      </c>
      <c r="AG91" s="33">
        <v>1.8764521278043289E-2</v>
      </c>
    </row>
    <row r="92" spans="1:33" x14ac:dyDescent="0.3">
      <c r="A92" s="31">
        <v>-0.11399999999999999</v>
      </c>
      <c r="B92" s="67">
        <v>3.5716483783655294E-2</v>
      </c>
      <c r="C92" s="67">
        <v>1.332197631492887E-2</v>
      </c>
      <c r="D92" s="35">
        <v>0.27135910672861813</v>
      </c>
      <c r="E92" s="36">
        <v>0</v>
      </c>
      <c r="F92" s="35">
        <v>1.2386400238080752E-2</v>
      </c>
      <c r="G92" s="36">
        <v>0</v>
      </c>
      <c r="H92" s="35">
        <v>2.9790211026756525E-2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5">
        <v>0.1757841821305906</v>
      </c>
      <c r="O92" s="35">
        <v>2.1472251568265984E-2</v>
      </c>
      <c r="P92" s="36">
        <v>0</v>
      </c>
      <c r="Q92" s="36">
        <v>7.1869492009179858E-2</v>
      </c>
      <c r="R92" s="36">
        <v>0</v>
      </c>
      <c r="S92" s="36">
        <v>0</v>
      </c>
      <c r="T92" s="36">
        <v>0</v>
      </c>
      <c r="U92" s="36">
        <v>0.15888107840952329</v>
      </c>
      <c r="V92" s="36">
        <v>0</v>
      </c>
      <c r="W92" s="36">
        <v>0</v>
      </c>
      <c r="X92" s="36">
        <v>0.17853197767612655</v>
      </c>
      <c r="Y92" s="36">
        <v>0</v>
      </c>
      <c r="Z92" s="36">
        <v>1.0624759798448851E-2</v>
      </c>
      <c r="AA92" s="36">
        <v>0</v>
      </c>
      <c r="AB92" s="36">
        <v>0</v>
      </c>
      <c r="AC92" s="36">
        <v>0</v>
      </c>
      <c r="AD92" s="36">
        <v>4.964207584625073E-2</v>
      </c>
      <c r="AE92" s="36">
        <v>8.9394290379059011E-4</v>
      </c>
      <c r="AF92" s="36">
        <v>0</v>
      </c>
      <c r="AG92" s="33">
        <v>1.8764521278043289E-2</v>
      </c>
    </row>
    <row r="93" spans="1:33" x14ac:dyDescent="0.3">
      <c r="A93" s="31">
        <v>-0.11199999999999999</v>
      </c>
      <c r="B93" s="67">
        <v>3.5716483783655294E-2</v>
      </c>
      <c r="C93" s="67">
        <v>1.332197631492887E-2</v>
      </c>
      <c r="D93" s="35">
        <v>0.27135910672861813</v>
      </c>
      <c r="E93" s="36">
        <v>0</v>
      </c>
      <c r="F93" s="35">
        <v>1.2386400238080752E-2</v>
      </c>
      <c r="G93" s="36">
        <v>0</v>
      </c>
      <c r="H93" s="35">
        <v>2.9790211026756525E-2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5">
        <v>0.1757841821305906</v>
      </c>
      <c r="O93" s="35">
        <v>2.1472251568265984E-2</v>
      </c>
      <c r="P93" s="36">
        <v>0</v>
      </c>
      <c r="Q93" s="36">
        <v>7.1869492009179858E-2</v>
      </c>
      <c r="R93" s="36">
        <v>0</v>
      </c>
      <c r="S93" s="36">
        <v>0</v>
      </c>
      <c r="T93" s="36">
        <v>0</v>
      </c>
      <c r="U93" s="36">
        <v>0.15888107840952329</v>
      </c>
      <c r="V93" s="36">
        <v>0</v>
      </c>
      <c r="W93" s="36">
        <v>0</v>
      </c>
      <c r="X93" s="36">
        <v>0.17853197767612655</v>
      </c>
      <c r="Y93" s="36">
        <v>0</v>
      </c>
      <c r="Z93" s="36">
        <v>1.0624759798448851E-2</v>
      </c>
      <c r="AA93" s="36">
        <v>0</v>
      </c>
      <c r="AB93" s="36">
        <v>0</v>
      </c>
      <c r="AC93" s="36">
        <v>0</v>
      </c>
      <c r="AD93" s="36">
        <v>4.964207584625073E-2</v>
      </c>
      <c r="AE93" s="36">
        <v>8.9394290379059011E-4</v>
      </c>
      <c r="AF93" s="36">
        <v>0</v>
      </c>
      <c r="AG93" s="33">
        <v>1.8764521278043289E-2</v>
      </c>
    </row>
    <row r="94" spans="1:33" x14ac:dyDescent="0.3">
      <c r="A94" s="31">
        <v>-0.10999999999999999</v>
      </c>
      <c r="B94" s="67">
        <v>3.5716483783655294E-2</v>
      </c>
      <c r="C94" s="67">
        <v>1.332197631492887E-2</v>
      </c>
      <c r="D94" s="35">
        <v>0.27135910672861813</v>
      </c>
      <c r="E94" s="36">
        <v>0</v>
      </c>
      <c r="F94" s="35">
        <v>1.2386400238080752E-2</v>
      </c>
      <c r="G94" s="36">
        <v>0</v>
      </c>
      <c r="H94" s="35">
        <v>2.9790211026756525E-2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5">
        <v>0.1757841821305906</v>
      </c>
      <c r="O94" s="35">
        <v>2.1472251568265984E-2</v>
      </c>
      <c r="P94" s="36">
        <v>0</v>
      </c>
      <c r="Q94" s="36">
        <v>7.1869492009179858E-2</v>
      </c>
      <c r="R94" s="36">
        <v>0</v>
      </c>
      <c r="S94" s="36">
        <v>0</v>
      </c>
      <c r="T94" s="36">
        <v>0</v>
      </c>
      <c r="U94" s="36">
        <v>0.15888107840952329</v>
      </c>
      <c r="V94" s="36">
        <v>0</v>
      </c>
      <c r="W94" s="36">
        <v>0</v>
      </c>
      <c r="X94" s="36">
        <v>0.17853197767612655</v>
      </c>
      <c r="Y94" s="36">
        <v>0</v>
      </c>
      <c r="Z94" s="36">
        <v>1.0624759798448851E-2</v>
      </c>
      <c r="AA94" s="36">
        <v>0</v>
      </c>
      <c r="AB94" s="36">
        <v>0</v>
      </c>
      <c r="AC94" s="36">
        <v>0</v>
      </c>
      <c r="AD94" s="36">
        <v>4.964207584625073E-2</v>
      </c>
      <c r="AE94" s="36">
        <v>8.9394290379059011E-4</v>
      </c>
      <c r="AF94" s="36">
        <v>0</v>
      </c>
      <c r="AG94" s="33">
        <v>1.8764521278043289E-2</v>
      </c>
    </row>
    <row r="95" spans="1:33" x14ac:dyDescent="0.3">
      <c r="A95" s="31">
        <v>-0.10799999999999998</v>
      </c>
      <c r="B95" s="67">
        <v>3.5789072000556588E-2</v>
      </c>
      <c r="C95" s="67">
        <v>1.3577847801441452E-2</v>
      </c>
      <c r="D95" s="35">
        <v>0.26667722114310821</v>
      </c>
      <c r="E95" s="36">
        <v>0</v>
      </c>
      <c r="F95" s="35">
        <v>1.3239187425065321E-2</v>
      </c>
      <c r="G95" s="36">
        <v>0</v>
      </c>
      <c r="H95" s="35">
        <v>3.4297132256667813E-2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5">
        <v>0.17829908233293648</v>
      </c>
      <c r="O95" s="35">
        <v>2.4206683831898879E-2</v>
      </c>
      <c r="P95" s="36">
        <v>0</v>
      </c>
      <c r="Q95" s="36">
        <v>7.2884777648999047E-2</v>
      </c>
      <c r="R95" s="36">
        <v>0</v>
      </c>
      <c r="S95" s="36">
        <v>0</v>
      </c>
      <c r="T95" s="36">
        <v>0</v>
      </c>
      <c r="U95" s="36">
        <v>0.15969956138297581</v>
      </c>
      <c r="V95" s="36">
        <v>0</v>
      </c>
      <c r="W95" s="36">
        <v>0</v>
      </c>
      <c r="X95" s="36">
        <v>0.17828384823820401</v>
      </c>
      <c r="Y95" s="36">
        <v>0</v>
      </c>
      <c r="Z95" s="36">
        <v>7.9651242597299343E-3</v>
      </c>
      <c r="AA95" s="36">
        <v>0</v>
      </c>
      <c r="AB95" s="36">
        <v>0</v>
      </c>
      <c r="AC95" s="36">
        <v>0</v>
      </c>
      <c r="AD95" s="36">
        <v>5.0989237449096163E-2</v>
      </c>
      <c r="AE95" s="36">
        <v>8.7751857270604197E-4</v>
      </c>
      <c r="AF95" s="36">
        <v>0</v>
      </c>
      <c r="AG95" s="33">
        <v>1.258062539317849E-2</v>
      </c>
    </row>
    <row r="96" spans="1:33" x14ac:dyDescent="0.3">
      <c r="A96" s="31">
        <v>-0.106</v>
      </c>
      <c r="B96" s="67">
        <v>3.5789072000556588E-2</v>
      </c>
      <c r="C96" s="67">
        <v>1.3577847801441452E-2</v>
      </c>
      <c r="D96" s="35">
        <v>0.26667722114310821</v>
      </c>
      <c r="E96" s="36">
        <v>0</v>
      </c>
      <c r="F96" s="35">
        <v>1.3239187425065321E-2</v>
      </c>
      <c r="G96" s="36">
        <v>0</v>
      </c>
      <c r="H96" s="35">
        <v>3.4297132256667813E-2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5">
        <v>0.17829908233293648</v>
      </c>
      <c r="O96" s="35">
        <v>2.4206683831898879E-2</v>
      </c>
      <c r="P96" s="36">
        <v>0</v>
      </c>
      <c r="Q96" s="36">
        <v>7.2884777648999047E-2</v>
      </c>
      <c r="R96" s="36">
        <v>0</v>
      </c>
      <c r="S96" s="36">
        <v>0</v>
      </c>
      <c r="T96" s="36">
        <v>0</v>
      </c>
      <c r="U96" s="36">
        <v>0.15969956138297581</v>
      </c>
      <c r="V96" s="36">
        <v>0</v>
      </c>
      <c r="W96" s="36">
        <v>0</v>
      </c>
      <c r="X96" s="36">
        <v>0.17828384823820401</v>
      </c>
      <c r="Y96" s="36">
        <v>0</v>
      </c>
      <c r="Z96" s="36">
        <v>7.9651242597299343E-3</v>
      </c>
      <c r="AA96" s="36">
        <v>0</v>
      </c>
      <c r="AB96" s="36">
        <v>0</v>
      </c>
      <c r="AC96" s="36">
        <v>0</v>
      </c>
      <c r="AD96" s="36">
        <v>5.0989237449096163E-2</v>
      </c>
      <c r="AE96" s="36">
        <v>8.7751857270604197E-4</v>
      </c>
      <c r="AF96" s="36">
        <v>0</v>
      </c>
      <c r="AG96" s="33">
        <v>1.258062539317849E-2</v>
      </c>
    </row>
    <row r="97" spans="1:33" x14ac:dyDescent="0.3">
      <c r="A97" s="31">
        <v>-0.104</v>
      </c>
      <c r="B97" s="67">
        <v>3.5789072000556588E-2</v>
      </c>
      <c r="C97" s="67">
        <v>1.3577847801441452E-2</v>
      </c>
      <c r="D97" s="35">
        <v>0.26667722114310821</v>
      </c>
      <c r="E97" s="36">
        <v>0</v>
      </c>
      <c r="F97" s="35">
        <v>1.3239187425065321E-2</v>
      </c>
      <c r="G97" s="36">
        <v>0</v>
      </c>
      <c r="H97" s="35">
        <v>3.4297132256667813E-2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5">
        <v>0.17829908233293648</v>
      </c>
      <c r="O97" s="35">
        <v>2.4206683831898879E-2</v>
      </c>
      <c r="P97" s="36">
        <v>0</v>
      </c>
      <c r="Q97" s="36">
        <v>7.2884777648999047E-2</v>
      </c>
      <c r="R97" s="36">
        <v>0</v>
      </c>
      <c r="S97" s="36">
        <v>0</v>
      </c>
      <c r="T97" s="36">
        <v>0</v>
      </c>
      <c r="U97" s="36">
        <v>0.15969956138297581</v>
      </c>
      <c r="V97" s="36">
        <v>0</v>
      </c>
      <c r="W97" s="36">
        <v>0</v>
      </c>
      <c r="X97" s="36">
        <v>0.17828384823820401</v>
      </c>
      <c r="Y97" s="36">
        <v>0</v>
      </c>
      <c r="Z97" s="36">
        <v>7.9651242597299343E-3</v>
      </c>
      <c r="AA97" s="36">
        <v>0</v>
      </c>
      <c r="AB97" s="36">
        <v>0</v>
      </c>
      <c r="AC97" s="36">
        <v>0</v>
      </c>
      <c r="AD97" s="36">
        <v>5.0989237449096163E-2</v>
      </c>
      <c r="AE97" s="36">
        <v>8.7751857270604197E-4</v>
      </c>
      <c r="AF97" s="36">
        <v>0</v>
      </c>
      <c r="AG97" s="33">
        <v>1.258062539317849E-2</v>
      </c>
    </row>
    <row r="98" spans="1:33" x14ac:dyDescent="0.3">
      <c r="A98" s="31">
        <v>-0.10199999999999999</v>
      </c>
      <c r="B98" s="67">
        <v>3.5842403944040348E-2</v>
      </c>
      <c r="C98" s="67">
        <v>1.375443767226023E-2</v>
      </c>
      <c r="D98" s="35">
        <v>0.26272068166571944</v>
      </c>
      <c r="E98" s="36">
        <v>0</v>
      </c>
      <c r="F98" s="35">
        <v>1.4108736691394584E-2</v>
      </c>
      <c r="G98" s="36">
        <v>0</v>
      </c>
      <c r="H98" s="35">
        <v>3.3886210749703626E-2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5">
        <v>0.18007646032611682</v>
      </c>
      <c r="O98" s="35">
        <v>2.5405316238248345E-2</v>
      </c>
      <c r="P98" s="36">
        <v>0</v>
      </c>
      <c r="Q98" s="36">
        <v>7.4007592309040263E-2</v>
      </c>
      <c r="R98" s="36">
        <v>0</v>
      </c>
      <c r="S98" s="36">
        <v>0</v>
      </c>
      <c r="T98" s="36">
        <v>0</v>
      </c>
      <c r="U98" s="36">
        <v>0.15898464032969256</v>
      </c>
      <c r="V98" s="36">
        <v>0</v>
      </c>
      <c r="W98" s="36">
        <v>0</v>
      </c>
      <c r="X98" s="36">
        <v>0.17737635972306121</v>
      </c>
      <c r="Y98" s="36">
        <v>0</v>
      </c>
      <c r="Z98" s="36">
        <v>7.7717927630865406E-3</v>
      </c>
      <c r="AA98" s="36">
        <v>0</v>
      </c>
      <c r="AB98" s="36">
        <v>0</v>
      </c>
      <c r="AC98" s="36">
        <v>0</v>
      </c>
      <c r="AD98" s="36">
        <v>5.242219163582422E-2</v>
      </c>
      <c r="AE98" s="36">
        <v>8.7574186788170767E-4</v>
      </c>
      <c r="AF98" s="36">
        <v>0</v>
      </c>
      <c r="AG98" s="33">
        <v>1.2364275877353054E-2</v>
      </c>
    </row>
    <row r="99" spans="1:33" x14ac:dyDescent="0.3">
      <c r="A99" s="31">
        <v>-9.9999999999999992E-2</v>
      </c>
      <c r="B99" s="67">
        <v>3.5842403944040348E-2</v>
      </c>
      <c r="C99" s="67">
        <v>1.375443767226023E-2</v>
      </c>
      <c r="D99" s="35">
        <v>0.26272068166571944</v>
      </c>
      <c r="E99" s="36">
        <v>0</v>
      </c>
      <c r="F99" s="35">
        <v>1.4108736691394584E-2</v>
      </c>
      <c r="G99" s="36">
        <v>0</v>
      </c>
      <c r="H99" s="35">
        <v>3.3886210749703626E-2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5">
        <v>0.18007646032611682</v>
      </c>
      <c r="O99" s="35">
        <v>2.5405316238248345E-2</v>
      </c>
      <c r="P99" s="36">
        <v>0</v>
      </c>
      <c r="Q99" s="36">
        <v>7.4007592309040263E-2</v>
      </c>
      <c r="R99" s="36">
        <v>0</v>
      </c>
      <c r="S99" s="36">
        <v>0</v>
      </c>
      <c r="T99" s="36">
        <v>0</v>
      </c>
      <c r="U99" s="36">
        <v>0.15898464032969256</v>
      </c>
      <c r="V99" s="36">
        <v>0</v>
      </c>
      <c r="W99" s="36">
        <v>0</v>
      </c>
      <c r="X99" s="36">
        <v>0.17737635972306121</v>
      </c>
      <c r="Y99" s="36">
        <v>0</v>
      </c>
      <c r="Z99" s="36">
        <v>7.7717927630865406E-3</v>
      </c>
      <c r="AA99" s="36">
        <v>0</v>
      </c>
      <c r="AB99" s="36">
        <v>0</v>
      </c>
      <c r="AC99" s="36">
        <v>0</v>
      </c>
      <c r="AD99" s="36">
        <v>5.242219163582422E-2</v>
      </c>
      <c r="AE99" s="36">
        <v>8.7574186788170767E-4</v>
      </c>
      <c r="AF99" s="36">
        <v>0</v>
      </c>
      <c r="AG99" s="33">
        <v>1.2364275877353054E-2</v>
      </c>
    </row>
    <row r="100" spans="1:33" x14ac:dyDescent="0.3">
      <c r="A100" s="31">
        <v>-9.799999999999999E-2</v>
      </c>
      <c r="B100" s="67">
        <v>3.5842403944040348E-2</v>
      </c>
      <c r="C100" s="67">
        <v>1.375443767226023E-2</v>
      </c>
      <c r="D100" s="35">
        <v>0.26272068166571944</v>
      </c>
      <c r="E100" s="36">
        <v>0</v>
      </c>
      <c r="F100" s="35">
        <v>1.4108736691394584E-2</v>
      </c>
      <c r="G100" s="36">
        <v>0</v>
      </c>
      <c r="H100" s="35">
        <v>3.3886210749703626E-2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5">
        <v>0.18007646032611682</v>
      </c>
      <c r="O100" s="35">
        <v>2.5405316238248345E-2</v>
      </c>
      <c r="P100" s="36">
        <v>0</v>
      </c>
      <c r="Q100" s="36">
        <v>7.4007592309040263E-2</v>
      </c>
      <c r="R100" s="36">
        <v>0</v>
      </c>
      <c r="S100" s="36">
        <v>0</v>
      </c>
      <c r="T100" s="36">
        <v>0</v>
      </c>
      <c r="U100" s="36">
        <v>0.15898464032969256</v>
      </c>
      <c r="V100" s="36">
        <v>0</v>
      </c>
      <c r="W100" s="36">
        <v>0</v>
      </c>
      <c r="X100" s="36">
        <v>0.17737635972306121</v>
      </c>
      <c r="Y100" s="36">
        <v>0</v>
      </c>
      <c r="Z100" s="36">
        <v>7.7717927630865406E-3</v>
      </c>
      <c r="AA100" s="36">
        <v>0</v>
      </c>
      <c r="AB100" s="36">
        <v>0</v>
      </c>
      <c r="AC100" s="36">
        <v>0</v>
      </c>
      <c r="AD100" s="36">
        <v>5.242219163582422E-2</v>
      </c>
      <c r="AE100" s="36">
        <v>8.7574186788170767E-4</v>
      </c>
      <c r="AF100" s="36">
        <v>0</v>
      </c>
      <c r="AG100" s="33">
        <v>1.2364275877353054E-2</v>
      </c>
    </row>
    <row r="101" spans="1:33" x14ac:dyDescent="0.3">
      <c r="A101" s="31">
        <v>-9.6000000000000002E-2</v>
      </c>
      <c r="B101" s="67">
        <v>3.5919781189531222E-2</v>
      </c>
      <c r="C101" s="67">
        <v>1.3998835314379374E-2</v>
      </c>
      <c r="D101" s="35">
        <v>0.25859867179465112</v>
      </c>
      <c r="E101" s="36">
        <v>0</v>
      </c>
      <c r="F101" s="35">
        <v>1.5032300133360266E-2</v>
      </c>
      <c r="G101" s="36">
        <v>0</v>
      </c>
      <c r="H101" s="35">
        <v>3.7375571213420992E-2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5">
        <v>0.18240084943195242</v>
      </c>
      <c r="O101" s="35">
        <v>2.7936969399561772E-2</v>
      </c>
      <c r="P101" s="36">
        <v>0</v>
      </c>
      <c r="Q101" s="36">
        <v>7.4991873210294047E-2</v>
      </c>
      <c r="R101" s="36">
        <v>0</v>
      </c>
      <c r="S101" s="36">
        <v>0</v>
      </c>
      <c r="T101" s="36">
        <v>0</v>
      </c>
      <c r="U101" s="36">
        <v>0.16006335703475186</v>
      </c>
      <c r="V101" s="36">
        <v>0</v>
      </c>
      <c r="W101" s="36">
        <v>0</v>
      </c>
      <c r="X101" s="36">
        <v>0.17708423287087297</v>
      </c>
      <c r="Y101" s="36">
        <v>0</v>
      </c>
      <c r="Z101" s="36">
        <v>5.03441627755008E-3</v>
      </c>
      <c r="AA101" s="36">
        <v>0</v>
      </c>
      <c r="AB101" s="36">
        <v>0</v>
      </c>
      <c r="AC101" s="36">
        <v>0</v>
      </c>
      <c r="AD101" s="36">
        <v>5.3661915701107191E-2</v>
      </c>
      <c r="AE101" s="36">
        <v>8.3733179821835466E-4</v>
      </c>
      <c r="AF101" s="36">
        <v>0</v>
      </c>
      <c r="AG101" s="33">
        <v>6.9825112484557215E-3</v>
      </c>
    </row>
    <row r="102" spans="1:33" x14ac:dyDescent="0.3">
      <c r="A102" s="31">
        <v>-9.4E-2</v>
      </c>
      <c r="B102" s="67">
        <v>3.5919781189531222E-2</v>
      </c>
      <c r="C102" s="67">
        <v>1.3998835314379374E-2</v>
      </c>
      <c r="D102" s="35">
        <v>0.25859867179465112</v>
      </c>
      <c r="E102" s="36">
        <v>0</v>
      </c>
      <c r="F102" s="35">
        <v>1.5032300133360266E-2</v>
      </c>
      <c r="G102" s="36">
        <v>0</v>
      </c>
      <c r="H102" s="35">
        <v>3.7375571213420992E-2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5">
        <v>0.18240084943195242</v>
      </c>
      <c r="O102" s="35">
        <v>2.7936969399561772E-2</v>
      </c>
      <c r="P102" s="36">
        <v>0</v>
      </c>
      <c r="Q102" s="36">
        <v>7.4991873210294047E-2</v>
      </c>
      <c r="R102" s="36">
        <v>0</v>
      </c>
      <c r="S102" s="36">
        <v>0</v>
      </c>
      <c r="T102" s="36">
        <v>0</v>
      </c>
      <c r="U102" s="36">
        <v>0.16006335703475186</v>
      </c>
      <c r="V102" s="36">
        <v>0</v>
      </c>
      <c r="W102" s="36">
        <v>0</v>
      </c>
      <c r="X102" s="36">
        <v>0.17708423287087297</v>
      </c>
      <c r="Y102" s="36">
        <v>0</v>
      </c>
      <c r="Z102" s="36">
        <v>5.03441627755008E-3</v>
      </c>
      <c r="AA102" s="36">
        <v>0</v>
      </c>
      <c r="AB102" s="36">
        <v>0</v>
      </c>
      <c r="AC102" s="36">
        <v>0</v>
      </c>
      <c r="AD102" s="36">
        <v>5.3661915701107191E-2</v>
      </c>
      <c r="AE102" s="36">
        <v>8.3733179821835466E-4</v>
      </c>
      <c r="AF102" s="36">
        <v>0</v>
      </c>
      <c r="AG102" s="33">
        <v>6.9825112484557215E-3</v>
      </c>
    </row>
    <row r="103" spans="1:33" x14ac:dyDescent="0.3">
      <c r="A103" s="31">
        <v>-9.1999999999999998E-2</v>
      </c>
      <c r="B103" s="67">
        <v>3.5919781189531222E-2</v>
      </c>
      <c r="C103" s="67">
        <v>1.3998835314379374E-2</v>
      </c>
      <c r="D103" s="35">
        <v>0.25859867179465112</v>
      </c>
      <c r="E103" s="36">
        <v>0</v>
      </c>
      <c r="F103" s="35">
        <v>1.5032300133360266E-2</v>
      </c>
      <c r="G103" s="36">
        <v>0</v>
      </c>
      <c r="H103" s="35">
        <v>3.7375571213420992E-2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5">
        <v>0.18240084943195242</v>
      </c>
      <c r="O103" s="35">
        <v>2.7936969399561772E-2</v>
      </c>
      <c r="P103" s="36">
        <v>0</v>
      </c>
      <c r="Q103" s="36">
        <v>7.4991873210294047E-2</v>
      </c>
      <c r="R103" s="36">
        <v>0</v>
      </c>
      <c r="S103" s="36">
        <v>0</v>
      </c>
      <c r="T103" s="36">
        <v>0</v>
      </c>
      <c r="U103" s="36">
        <v>0.16006335703475186</v>
      </c>
      <c r="V103" s="36">
        <v>0</v>
      </c>
      <c r="W103" s="36">
        <v>0</v>
      </c>
      <c r="X103" s="36">
        <v>0.17708423287087297</v>
      </c>
      <c r="Y103" s="36">
        <v>0</v>
      </c>
      <c r="Z103" s="36">
        <v>5.03441627755008E-3</v>
      </c>
      <c r="AA103" s="36">
        <v>0</v>
      </c>
      <c r="AB103" s="36">
        <v>0</v>
      </c>
      <c r="AC103" s="36">
        <v>0</v>
      </c>
      <c r="AD103" s="36">
        <v>5.3661915701107191E-2</v>
      </c>
      <c r="AE103" s="36">
        <v>8.3733179821835466E-4</v>
      </c>
      <c r="AF103" s="36">
        <v>0</v>
      </c>
      <c r="AG103" s="33">
        <v>6.9825112484557215E-3</v>
      </c>
    </row>
    <row r="104" spans="1:33" x14ac:dyDescent="0.3">
      <c r="A104" s="31">
        <v>-0.09</v>
      </c>
      <c r="B104" s="67">
        <v>3.6003487245090962E-2</v>
      </c>
      <c r="C104" s="67">
        <v>1.4248001575182979E-2</v>
      </c>
      <c r="D104" s="35">
        <v>0.2538285689942244</v>
      </c>
      <c r="E104" s="36">
        <v>0</v>
      </c>
      <c r="F104" s="35">
        <v>1.6092474171981688E-2</v>
      </c>
      <c r="G104" s="36">
        <v>0</v>
      </c>
      <c r="H104" s="35">
        <v>3.9347091738456394E-2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5">
        <v>0.18482310961617962</v>
      </c>
      <c r="O104" s="35">
        <v>3.0162392361743E-2</v>
      </c>
      <c r="P104" s="36">
        <v>0</v>
      </c>
      <c r="Q104" s="36">
        <v>7.6232556856163938E-2</v>
      </c>
      <c r="R104" s="36">
        <v>0</v>
      </c>
      <c r="S104" s="36">
        <v>0</v>
      </c>
      <c r="T104" s="36">
        <v>0</v>
      </c>
      <c r="U104" s="36">
        <v>0.16030221350973947</v>
      </c>
      <c r="V104" s="36">
        <v>0</v>
      </c>
      <c r="W104" s="36">
        <v>0</v>
      </c>
      <c r="X104" s="36">
        <v>0.17638684368625512</v>
      </c>
      <c r="Y104" s="36">
        <v>0</v>
      </c>
      <c r="Z104" s="36">
        <v>3.3087429443977531E-3</v>
      </c>
      <c r="AA104" s="36">
        <v>0</v>
      </c>
      <c r="AB104" s="36">
        <v>0</v>
      </c>
      <c r="AC104" s="36">
        <v>0</v>
      </c>
      <c r="AD104" s="36">
        <v>5.5241583269564569E-2</v>
      </c>
      <c r="AE104" s="36">
        <v>7.2393210594533729E-4</v>
      </c>
      <c r="AF104" s="36">
        <v>0</v>
      </c>
      <c r="AG104" s="33">
        <v>3.5504910942830833E-3</v>
      </c>
    </row>
    <row r="105" spans="1:33" x14ac:dyDescent="0.3">
      <c r="A105" s="31">
        <v>-8.7999999999999995E-2</v>
      </c>
      <c r="B105" s="67">
        <v>3.6003487245090962E-2</v>
      </c>
      <c r="C105" s="67">
        <v>1.4248001575182979E-2</v>
      </c>
      <c r="D105" s="35">
        <v>0.2538285689942244</v>
      </c>
      <c r="E105" s="36">
        <v>0</v>
      </c>
      <c r="F105" s="35">
        <v>1.6092474171981688E-2</v>
      </c>
      <c r="G105" s="36">
        <v>0</v>
      </c>
      <c r="H105" s="35">
        <v>3.9347091738456394E-2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5">
        <v>0.18482310961617962</v>
      </c>
      <c r="O105" s="35">
        <v>3.0162392361743E-2</v>
      </c>
      <c r="P105" s="36">
        <v>0</v>
      </c>
      <c r="Q105" s="36">
        <v>7.6232556856163938E-2</v>
      </c>
      <c r="R105" s="36">
        <v>0</v>
      </c>
      <c r="S105" s="36">
        <v>0</v>
      </c>
      <c r="T105" s="36">
        <v>0</v>
      </c>
      <c r="U105" s="36">
        <v>0.16030221350973947</v>
      </c>
      <c r="V105" s="36">
        <v>0</v>
      </c>
      <c r="W105" s="36">
        <v>0</v>
      </c>
      <c r="X105" s="36">
        <v>0.17638684368625512</v>
      </c>
      <c r="Y105" s="36">
        <v>0</v>
      </c>
      <c r="Z105" s="36">
        <v>3.3087429443977531E-3</v>
      </c>
      <c r="AA105" s="36">
        <v>0</v>
      </c>
      <c r="AB105" s="36">
        <v>0</v>
      </c>
      <c r="AC105" s="36">
        <v>0</v>
      </c>
      <c r="AD105" s="36">
        <v>5.5241583269564569E-2</v>
      </c>
      <c r="AE105" s="36">
        <v>7.2393210594533729E-4</v>
      </c>
      <c r="AF105" s="36">
        <v>0</v>
      </c>
      <c r="AG105" s="33">
        <v>3.5504910942830833E-3</v>
      </c>
    </row>
    <row r="106" spans="1:33" x14ac:dyDescent="0.3">
      <c r="A106" s="31">
        <v>-8.5999999999999993E-2</v>
      </c>
      <c r="B106" s="67">
        <v>3.6054543846644756E-2</v>
      </c>
      <c r="C106" s="67">
        <v>1.4392981740456241E-2</v>
      </c>
      <c r="D106" s="35">
        <v>0.25080338382618234</v>
      </c>
      <c r="E106" s="36">
        <v>0</v>
      </c>
      <c r="F106" s="35">
        <v>1.6397928056326515E-2</v>
      </c>
      <c r="G106" s="36">
        <v>0</v>
      </c>
      <c r="H106" s="35">
        <v>3.9265360690688686E-2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5">
        <v>0.18650948990222646</v>
      </c>
      <c r="O106" s="35">
        <v>3.0609348247279872E-2</v>
      </c>
      <c r="P106" s="36">
        <v>0</v>
      </c>
      <c r="Q106" s="36">
        <v>7.7731886303677333E-2</v>
      </c>
      <c r="R106" s="36">
        <v>0</v>
      </c>
      <c r="S106" s="36">
        <v>0</v>
      </c>
      <c r="T106" s="36">
        <v>0</v>
      </c>
      <c r="U106" s="36">
        <v>0.15848953375209962</v>
      </c>
      <c r="V106" s="36">
        <v>0</v>
      </c>
      <c r="W106" s="36">
        <v>0</v>
      </c>
      <c r="X106" s="36">
        <v>0.17575594930394375</v>
      </c>
      <c r="Y106" s="36">
        <v>0</v>
      </c>
      <c r="Z106" s="36">
        <v>3.3031055190002392E-3</v>
      </c>
      <c r="AA106" s="36">
        <v>0</v>
      </c>
      <c r="AB106" s="36">
        <v>0</v>
      </c>
      <c r="AC106" s="36">
        <v>0</v>
      </c>
      <c r="AD106" s="36">
        <v>5.6862314824460393E-2</v>
      </c>
      <c r="AE106" s="36">
        <v>7.2365803871000782E-4</v>
      </c>
      <c r="AF106" s="36">
        <v>0</v>
      </c>
      <c r="AG106" s="33">
        <v>3.5480415630475405E-3</v>
      </c>
    </row>
    <row r="107" spans="1:33" x14ac:dyDescent="0.3">
      <c r="A107" s="31">
        <v>-8.3999999999999991E-2</v>
      </c>
      <c r="B107" s="67">
        <v>3.6054543846644756E-2</v>
      </c>
      <c r="C107" s="67">
        <v>1.4392981740456241E-2</v>
      </c>
      <c r="D107" s="35">
        <v>0.25080338382618234</v>
      </c>
      <c r="E107" s="36">
        <v>0</v>
      </c>
      <c r="F107" s="35">
        <v>1.6397928056326515E-2</v>
      </c>
      <c r="G107" s="36">
        <v>0</v>
      </c>
      <c r="H107" s="35">
        <v>3.9265360690688686E-2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5">
        <v>0.18650948990222646</v>
      </c>
      <c r="O107" s="35">
        <v>3.0609348247279872E-2</v>
      </c>
      <c r="P107" s="36">
        <v>0</v>
      </c>
      <c r="Q107" s="36">
        <v>7.7731886303677333E-2</v>
      </c>
      <c r="R107" s="36">
        <v>0</v>
      </c>
      <c r="S107" s="36">
        <v>0</v>
      </c>
      <c r="T107" s="36">
        <v>0</v>
      </c>
      <c r="U107" s="36">
        <v>0.15848953375209962</v>
      </c>
      <c r="V107" s="36">
        <v>0</v>
      </c>
      <c r="W107" s="36">
        <v>0</v>
      </c>
      <c r="X107" s="36">
        <v>0.17575594930394375</v>
      </c>
      <c r="Y107" s="36">
        <v>0</v>
      </c>
      <c r="Z107" s="36">
        <v>3.3031055190002392E-3</v>
      </c>
      <c r="AA107" s="36">
        <v>0</v>
      </c>
      <c r="AB107" s="36">
        <v>0</v>
      </c>
      <c r="AC107" s="36">
        <v>0</v>
      </c>
      <c r="AD107" s="36">
        <v>5.6862314824460393E-2</v>
      </c>
      <c r="AE107" s="36">
        <v>7.2365803871000782E-4</v>
      </c>
      <c r="AF107" s="36">
        <v>0</v>
      </c>
      <c r="AG107" s="33">
        <v>3.5480415630475405E-3</v>
      </c>
    </row>
    <row r="108" spans="1:33" x14ac:dyDescent="0.3">
      <c r="A108" s="31">
        <v>-8.199999999999999E-2</v>
      </c>
      <c r="B108" s="67">
        <v>3.6117008027973962E-2</v>
      </c>
      <c r="C108" s="67">
        <v>1.4563579709151604E-2</v>
      </c>
      <c r="D108" s="35">
        <v>0.24698084465936321</v>
      </c>
      <c r="E108" s="36">
        <v>0</v>
      </c>
      <c r="F108" s="35">
        <v>1.6930428180206909E-2</v>
      </c>
      <c r="G108" s="36">
        <v>0</v>
      </c>
      <c r="H108" s="35">
        <v>3.9041017437988622E-2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5">
        <v>0.18835358727999621</v>
      </c>
      <c r="O108" s="35">
        <v>3.1413398448017882E-2</v>
      </c>
      <c r="P108" s="36">
        <v>0</v>
      </c>
      <c r="Q108" s="36">
        <v>7.9101377348941737E-2</v>
      </c>
      <c r="R108" s="36">
        <v>0</v>
      </c>
      <c r="S108" s="36">
        <v>0</v>
      </c>
      <c r="T108" s="36">
        <v>0</v>
      </c>
      <c r="U108" s="36">
        <v>0.1569001052760147</v>
      </c>
      <c r="V108" s="36">
        <v>0</v>
      </c>
      <c r="W108" s="36">
        <v>0</v>
      </c>
      <c r="X108" s="36">
        <v>0.17486691025554202</v>
      </c>
      <c r="Y108" s="36">
        <v>0</v>
      </c>
      <c r="Z108" s="36">
        <v>3.2902221664127518E-3</v>
      </c>
      <c r="AA108" s="36">
        <v>0</v>
      </c>
      <c r="AB108" s="36">
        <v>0</v>
      </c>
      <c r="AC108" s="36">
        <v>0</v>
      </c>
      <c r="AD108" s="36">
        <v>5.8857213449265637E-2</v>
      </c>
      <c r="AE108" s="36">
        <v>7.2330213098765138E-4</v>
      </c>
      <c r="AF108" s="36">
        <v>0</v>
      </c>
      <c r="AG108" s="33">
        <v>3.5415934481385662E-3</v>
      </c>
    </row>
    <row r="109" spans="1:33" x14ac:dyDescent="0.3">
      <c r="A109" s="31">
        <v>-7.9999999999999988E-2</v>
      </c>
      <c r="B109" s="67">
        <v>3.6117008027973962E-2</v>
      </c>
      <c r="C109" s="67">
        <v>1.4563579709151604E-2</v>
      </c>
      <c r="D109" s="35">
        <v>0.24698084465936321</v>
      </c>
      <c r="E109" s="36">
        <v>0</v>
      </c>
      <c r="F109" s="35">
        <v>1.6930428180206909E-2</v>
      </c>
      <c r="G109" s="36">
        <v>0</v>
      </c>
      <c r="H109" s="35">
        <v>3.9041017437988622E-2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5">
        <v>0.18835358727999621</v>
      </c>
      <c r="O109" s="35">
        <v>3.1413398448017882E-2</v>
      </c>
      <c r="P109" s="36">
        <v>0</v>
      </c>
      <c r="Q109" s="36">
        <v>7.9101377348941737E-2</v>
      </c>
      <c r="R109" s="36">
        <v>0</v>
      </c>
      <c r="S109" s="36">
        <v>0</v>
      </c>
      <c r="T109" s="36">
        <v>0</v>
      </c>
      <c r="U109" s="36">
        <v>0.1569001052760147</v>
      </c>
      <c r="V109" s="36">
        <v>0</v>
      </c>
      <c r="W109" s="36">
        <v>0</v>
      </c>
      <c r="X109" s="36">
        <v>0.17486691025554202</v>
      </c>
      <c r="Y109" s="36">
        <v>0</v>
      </c>
      <c r="Z109" s="36">
        <v>3.2902221664127518E-3</v>
      </c>
      <c r="AA109" s="36">
        <v>0</v>
      </c>
      <c r="AB109" s="36">
        <v>0</v>
      </c>
      <c r="AC109" s="36">
        <v>0</v>
      </c>
      <c r="AD109" s="36">
        <v>5.8857213449265637E-2</v>
      </c>
      <c r="AE109" s="36">
        <v>7.2330213098765138E-4</v>
      </c>
      <c r="AF109" s="36">
        <v>0</v>
      </c>
      <c r="AG109" s="33">
        <v>3.5415934481385662E-3</v>
      </c>
    </row>
    <row r="110" spans="1:33" x14ac:dyDescent="0.3">
      <c r="A110" s="31">
        <v>-7.7999999999999986E-2</v>
      </c>
      <c r="B110" s="67">
        <v>3.6194020961830657E-2</v>
      </c>
      <c r="C110" s="67">
        <v>1.4766007227053842E-2</v>
      </c>
      <c r="D110" s="35">
        <v>0.24174055525886642</v>
      </c>
      <c r="E110" s="36">
        <v>0</v>
      </c>
      <c r="F110" s="35">
        <v>1.8414643699332947E-2</v>
      </c>
      <c r="G110" s="36">
        <v>0</v>
      </c>
      <c r="H110" s="35">
        <v>3.7849139466833499E-2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5">
        <v>0.1900790138829965</v>
      </c>
      <c r="O110" s="35">
        <v>3.4158501433421681E-2</v>
      </c>
      <c r="P110" s="36">
        <v>0</v>
      </c>
      <c r="Q110" s="36">
        <v>7.9678828631118276E-2</v>
      </c>
      <c r="R110" s="36">
        <v>0</v>
      </c>
      <c r="S110" s="36">
        <v>0</v>
      </c>
      <c r="T110" s="36">
        <v>0</v>
      </c>
      <c r="U110" s="36">
        <v>0.15763673404537673</v>
      </c>
      <c r="V110" s="36">
        <v>0</v>
      </c>
      <c r="W110" s="36">
        <v>0</v>
      </c>
      <c r="X110" s="36">
        <v>0.17355053972560802</v>
      </c>
      <c r="Y110" s="36">
        <v>0</v>
      </c>
      <c r="Z110" s="36">
        <v>3.2196567528439989E-3</v>
      </c>
      <c r="AA110" s="36">
        <v>0</v>
      </c>
      <c r="AB110" s="36">
        <v>0</v>
      </c>
      <c r="AC110" s="36">
        <v>0</v>
      </c>
      <c r="AD110" s="36">
        <v>5.9447649720721814E-2</v>
      </c>
      <c r="AE110" s="36">
        <v>7.2190199825731063E-4</v>
      </c>
      <c r="AF110" s="36">
        <v>0</v>
      </c>
      <c r="AG110" s="33">
        <v>3.5028355695598703E-3</v>
      </c>
    </row>
    <row r="111" spans="1:33" x14ac:dyDescent="0.3">
      <c r="A111" s="31">
        <v>-7.5999999999999998E-2</v>
      </c>
      <c r="B111" s="67">
        <v>3.6194020961830657E-2</v>
      </c>
      <c r="C111" s="67">
        <v>1.4766007227053842E-2</v>
      </c>
      <c r="D111" s="35">
        <v>0.24174055525886642</v>
      </c>
      <c r="E111" s="36">
        <v>0</v>
      </c>
      <c r="F111" s="35">
        <v>1.8414643699332947E-2</v>
      </c>
      <c r="G111" s="36">
        <v>0</v>
      </c>
      <c r="H111" s="35">
        <v>3.7849139466833499E-2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5">
        <v>0.1900790138829965</v>
      </c>
      <c r="O111" s="35">
        <v>3.4158501433421681E-2</v>
      </c>
      <c r="P111" s="36">
        <v>0</v>
      </c>
      <c r="Q111" s="36">
        <v>7.9678828631118276E-2</v>
      </c>
      <c r="R111" s="36">
        <v>0</v>
      </c>
      <c r="S111" s="36">
        <v>0</v>
      </c>
      <c r="T111" s="36">
        <v>0</v>
      </c>
      <c r="U111" s="36">
        <v>0.15763673404537673</v>
      </c>
      <c r="V111" s="36">
        <v>0</v>
      </c>
      <c r="W111" s="36">
        <v>0</v>
      </c>
      <c r="X111" s="36">
        <v>0.17355053972560802</v>
      </c>
      <c r="Y111" s="36">
        <v>0</v>
      </c>
      <c r="Z111" s="36">
        <v>3.2196567528439989E-3</v>
      </c>
      <c r="AA111" s="36">
        <v>0</v>
      </c>
      <c r="AB111" s="36">
        <v>0</v>
      </c>
      <c r="AC111" s="36">
        <v>0</v>
      </c>
      <c r="AD111" s="36">
        <v>5.9447649720721814E-2</v>
      </c>
      <c r="AE111" s="36">
        <v>7.2190199825731063E-4</v>
      </c>
      <c r="AF111" s="36">
        <v>0</v>
      </c>
      <c r="AG111" s="33">
        <v>3.5028355695598703E-3</v>
      </c>
    </row>
    <row r="112" spans="1:33" x14ac:dyDescent="0.3">
      <c r="A112" s="31">
        <v>-7.3999999999999996E-2</v>
      </c>
      <c r="B112" s="67">
        <v>3.6270962605546152E-2</v>
      </c>
      <c r="C112" s="67">
        <v>1.4958941575360405E-2</v>
      </c>
      <c r="D112" s="35">
        <v>0.2376995566947325</v>
      </c>
      <c r="E112" s="36">
        <v>0</v>
      </c>
      <c r="F112" s="35">
        <v>1.8748263686047918E-2</v>
      </c>
      <c r="G112" s="36">
        <v>0</v>
      </c>
      <c r="H112" s="35">
        <v>3.7605242229202279E-2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5">
        <v>0.19227893779938166</v>
      </c>
      <c r="O112" s="35">
        <v>3.4991577750573065E-2</v>
      </c>
      <c r="P112" s="36">
        <v>0</v>
      </c>
      <c r="Q112" s="36">
        <v>8.1621049926881017E-2</v>
      </c>
      <c r="R112" s="36">
        <v>0</v>
      </c>
      <c r="S112" s="36">
        <v>0</v>
      </c>
      <c r="T112" s="36">
        <v>0</v>
      </c>
      <c r="U112" s="36">
        <v>0.15528654399195718</v>
      </c>
      <c r="V112" s="36">
        <v>0</v>
      </c>
      <c r="W112" s="36">
        <v>0</v>
      </c>
      <c r="X112" s="36">
        <v>0.17266175398989911</v>
      </c>
      <c r="Y112" s="36">
        <v>0</v>
      </c>
      <c r="Z112" s="36">
        <v>3.1972418776063287E-3</v>
      </c>
      <c r="AA112" s="36">
        <v>0</v>
      </c>
      <c r="AB112" s="36">
        <v>0</v>
      </c>
      <c r="AC112" s="36">
        <v>0</v>
      </c>
      <c r="AD112" s="36">
        <v>6.1697897770132612E-2</v>
      </c>
      <c r="AE112" s="36">
        <v>7.2157304684311314E-4</v>
      </c>
      <c r="AF112" s="36">
        <v>0</v>
      </c>
      <c r="AG112" s="33">
        <v>3.4903613910024717E-3</v>
      </c>
    </row>
    <row r="113" spans="1:33" x14ac:dyDescent="0.3">
      <c r="A113" s="31">
        <v>-7.1999999999999995E-2</v>
      </c>
      <c r="B113" s="67">
        <v>3.6270962605546152E-2</v>
      </c>
      <c r="C113" s="67">
        <v>1.4958941575360405E-2</v>
      </c>
      <c r="D113" s="35">
        <v>0.2376995566947325</v>
      </c>
      <c r="E113" s="36">
        <v>0</v>
      </c>
      <c r="F113" s="35">
        <v>1.8748263686047918E-2</v>
      </c>
      <c r="G113" s="36">
        <v>0</v>
      </c>
      <c r="H113" s="35">
        <v>3.7605242229202279E-2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5">
        <v>0.19227893779938166</v>
      </c>
      <c r="O113" s="35">
        <v>3.4991577750573065E-2</v>
      </c>
      <c r="P113" s="36">
        <v>0</v>
      </c>
      <c r="Q113" s="36">
        <v>8.1621049926881017E-2</v>
      </c>
      <c r="R113" s="36">
        <v>0</v>
      </c>
      <c r="S113" s="36">
        <v>0</v>
      </c>
      <c r="T113" s="36">
        <v>0</v>
      </c>
      <c r="U113" s="36">
        <v>0.15528654399195718</v>
      </c>
      <c r="V113" s="36">
        <v>0</v>
      </c>
      <c r="W113" s="36">
        <v>0</v>
      </c>
      <c r="X113" s="36">
        <v>0.17266175398989911</v>
      </c>
      <c r="Y113" s="36">
        <v>0</v>
      </c>
      <c r="Z113" s="36">
        <v>3.1972418776063287E-3</v>
      </c>
      <c r="AA113" s="36">
        <v>0</v>
      </c>
      <c r="AB113" s="36">
        <v>0</v>
      </c>
      <c r="AC113" s="36">
        <v>0</v>
      </c>
      <c r="AD113" s="36">
        <v>6.1697897770132612E-2</v>
      </c>
      <c r="AE113" s="36">
        <v>7.2157304684311314E-4</v>
      </c>
      <c r="AF113" s="36">
        <v>0</v>
      </c>
      <c r="AG113" s="33">
        <v>3.4903613910024717E-3</v>
      </c>
    </row>
    <row r="114" spans="1:33" x14ac:dyDescent="0.3">
      <c r="A114" s="31">
        <v>-6.9999999999999993E-2</v>
      </c>
      <c r="B114" s="67">
        <v>3.6386156506113765E-2</v>
      </c>
      <c r="C114" s="67">
        <v>1.524114091857399E-2</v>
      </c>
      <c r="D114" s="35">
        <v>0.23268782369129773</v>
      </c>
      <c r="E114" s="36">
        <v>0</v>
      </c>
      <c r="F114" s="35">
        <v>2.0259522990323509E-2</v>
      </c>
      <c r="G114" s="36">
        <v>0</v>
      </c>
      <c r="H114" s="35">
        <v>3.744545244900338E-2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5">
        <v>0.19474879570191991</v>
      </c>
      <c r="O114" s="35">
        <v>3.8714615860346482E-2</v>
      </c>
      <c r="P114" s="36">
        <v>0</v>
      </c>
      <c r="Q114" s="36">
        <v>8.2437719463553508E-2</v>
      </c>
      <c r="R114" s="36">
        <v>0</v>
      </c>
      <c r="S114" s="36">
        <v>0</v>
      </c>
      <c r="T114" s="36">
        <v>0</v>
      </c>
      <c r="U114" s="36">
        <v>0.15721585130567928</v>
      </c>
      <c r="V114" s="36">
        <v>0</v>
      </c>
      <c r="W114" s="36">
        <v>0</v>
      </c>
      <c r="X114" s="36">
        <v>0.17160904154032625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6.2554427563704315E-2</v>
      </c>
      <c r="AE114" s="36">
        <v>6.8614685036115074E-4</v>
      </c>
      <c r="AF114" s="36">
        <v>0</v>
      </c>
      <c r="AG114" s="33">
        <v>1.6406026414632906E-3</v>
      </c>
    </row>
    <row r="115" spans="1:33" x14ac:dyDescent="0.3">
      <c r="A115" s="42">
        <v>-6.7999999999999991E-2</v>
      </c>
      <c r="B115" s="66">
        <v>3.6386156506113765E-2</v>
      </c>
      <c r="C115" s="66">
        <v>1.524114091857399E-2</v>
      </c>
      <c r="D115">
        <v>0.23268782369129773</v>
      </c>
      <c r="E115">
        <v>0</v>
      </c>
      <c r="F115">
        <v>2.0259522990323509E-2</v>
      </c>
      <c r="G115">
        <v>0</v>
      </c>
      <c r="H115">
        <v>3.744545244900338E-2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0.19474879570191991</v>
      </c>
      <c r="O115">
        <v>3.8714615860346482E-2</v>
      </c>
      <c r="P115">
        <v>0</v>
      </c>
      <c r="Q115">
        <v>8.2437719463553508E-2</v>
      </c>
      <c r="R115">
        <v>0</v>
      </c>
      <c r="S115">
        <v>0</v>
      </c>
      <c r="T115">
        <v>0</v>
      </c>
      <c r="U115">
        <v>0.15721585130567928</v>
      </c>
      <c r="V115">
        <v>0</v>
      </c>
      <c r="W115">
        <v>0</v>
      </c>
      <c r="X115">
        <v>0.17160904154032625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6.2554427563704315E-2</v>
      </c>
      <c r="AE115">
        <v>6.8614685036115074E-4</v>
      </c>
      <c r="AF115">
        <v>0</v>
      </c>
      <c r="AG115" s="9">
        <v>1.6406026414632906E-3</v>
      </c>
    </row>
    <row r="116" spans="1:33" x14ac:dyDescent="0.3">
      <c r="A116" s="31">
        <v>-6.5999999999999989E-2</v>
      </c>
      <c r="B116" s="66">
        <v>3.6489309714133236E-2</v>
      </c>
      <c r="C116" s="66">
        <v>1.5477016692037928E-2</v>
      </c>
      <c r="D116">
        <v>0.22749805795852834</v>
      </c>
      <c r="E116">
        <v>0</v>
      </c>
      <c r="F116">
        <v>2.0863983045478152E-2</v>
      </c>
      <c r="G116">
        <v>0</v>
      </c>
      <c r="H116">
        <v>3.7345768544985697E-2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0.19748900923956988</v>
      </c>
      <c r="O116">
        <v>3.9553291274475134E-2</v>
      </c>
      <c r="P116">
        <v>0</v>
      </c>
      <c r="Q116">
        <v>8.4577800918636703E-2</v>
      </c>
      <c r="R116">
        <v>0</v>
      </c>
      <c r="S116">
        <v>0</v>
      </c>
      <c r="T116">
        <v>0</v>
      </c>
      <c r="U116">
        <v>0.15448569184482608</v>
      </c>
      <c r="V116">
        <v>0</v>
      </c>
      <c r="W116">
        <v>0</v>
      </c>
      <c r="X116">
        <v>0.17063429004259634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6.5229427867692397E-2</v>
      </c>
      <c r="AE116">
        <v>6.8581047683799674E-4</v>
      </c>
      <c r="AF116">
        <v>0</v>
      </c>
      <c r="AG116" s="9">
        <v>1.6368691310790432E-3</v>
      </c>
    </row>
    <row r="117" spans="1:33" x14ac:dyDescent="0.3">
      <c r="A117" s="42">
        <v>-6.3999999999999987E-2</v>
      </c>
      <c r="B117" s="66">
        <v>3.6489309714133236E-2</v>
      </c>
      <c r="C117" s="66">
        <v>1.5477016692037928E-2</v>
      </c>
      <c r="D117">
        <v>0.22749805795852834</v>
      </c>
      <c r="E117">
        <v>0</v>
      </c>
      <c r="F117">
        <v>2.0863983045478152E-2</v>
      </c>
      <c r="G117">
        <v>0</v>
      </c>
      <c r="H117">
        <v>3.7345768544985697E-2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0.19748900923956988</v>
      </c>
      <c r="O117">
        <v>3.9553291274475134E-2</v>
      </c>
      <c r="P117">
        <v>0</v>
      </c>
      <c r="Q117">
        <v>8.4577800918636703E-2</v>
      </c>
      <c r="R117">
        <v>0</v>
      </c>
      <c r="S117">
        <v>0</v>
      </c>
      <c r="T117">
        <v>0</v>
      </c>
      <c r="U117">
        <v>0.15448569184482608</v>
      </c>
      <c r="V117">
        <v>0</v>
      </c>
      <c r="W117">
        <v>0</v>
      </c>
      <c r="X117">
        <v>0.17063429004259634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6.5229427867692397E-2</v>
      </c>
      <c r="AE117">
        <v>6.8581047683799674E-4</v>
      </c>
      <c r="AF117">
        <v>0</v>
      </c>
      <c r="AG117" s="9">
        <v>1.6368691310790432E-3</v>
      </c>
    </row>
    <row r="118" spans="1:33" x14ac:dyDescent="0.3">
      <c r="A118" s="31">
        <v>-6.2E-2</v>
      </c>
      <c r="B118" s="66">
        <v>3.6624042926230997E-2</v>
      </c>
      <c r="C118" s="66">
        <v>1.577253215173767E-2</v>
      </c>
      <c r="D118">
        <v>0.22050858141653812</v>
      </c>
      <c r="E118">
        <v>0</v>
      </c>
      <c r="F118">
        <v>2.2397875513807803E-2</v>
      </c>
      <c r="G118">
        <v>0</v>
      </c>
      <c r="H118">
        <v>3.6760427116179828E-2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0.20003512371239918</v>
      </c>
      <c r="O118">
        <v>4.3060493580233776E-2</v>
      </c>
      <c r="P118">
        <v>0</v>
      </c>
      <c r="Q118">
        <v>8.6137089720635371E-2</v>
      </c>
      <c r="R118">
        <v>0</v>
      </c>
      <c r="S118">
        <v>0</v>
      </c>
      <c r="T118">
        <v>0</v>
      </c>
      <c r="U118">
        <v>0.1547451314984582</v>
      </c>
      <c r="V118">
        <v>0</v>
      </c>
      <c r="W118">
        <v>0</v>
      </c>
      <c r="X118">
        <v>0.16880412337313214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6.6978895156867849E-2</v>
      </c>
      <c r="AE118">
        <v>5.7225899610817627E-4</v>
      </c>
      <c r="AF118">
        <v>0</v>
      </c>
      <c r="AG118" s="9">
        <v>0</v>
      </c>
    </row>
    <row r="119" spans="1:33" x14ac:dyDescent="0.3">
      <c r="A119" s="42">
        <v>-0.06</v>
      </c>
      <c r="B119" s="66">
        <v>3.6693239415981099E-2</v>
      </c>
      <c r="C119" s="66">
        <v>1.5917562449822412E-2</v>
      </c>
      <c r="D119">
        <v>0.21690534037423739</v>
      </c>
      <c r="E119">
        <v>0</v>
      </c>
      <c r="F119">
        <v>2.284907428936557E-2</v>
      </c>
      <c r="G119">
        <v>0</v>
      </c>
      <c r="H119">
        <v>3.6667168371244625E-2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0.20152777916057052</v>
      </c>
      <c r="O119">
        <v>4.3788956728931593E-2</v>
      </c>
      <c r="P119">
        <v>0</v>
      </c>
      <c r="Q119">
        <v>8.7272424810183616E-2</v>
      </c>
      <c r="R119">
        <v>0</v>
      </c>
      <c r="S119">
        <v>0</v>
      </c>
      <c r="T119">
        <v>0</v>
      </c>
      <c r="U119">
        <v>0.15362398905505006</v>
      </c>
      <c r="V119">
        <v>0</v>
      </c>
      <c r="W119">
        <v>0</v>
      </c>
      <c r="X119">
        <v>0.16818623299219868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6.8607055934912592E-2</v>
      </c>
      <c r="AE119">
        <v>5.7197834401353771E-4</v>
      </c>
      <c r="AF119">
        <v>0</v>
      </c>
      <c r="AG119" s="9">
        <v>0</v>
      </c>
    </row>
    <row r="120" spans="1:33" x14ac:dyDescent="0.3">
      <c r="A120" s="31">
        <v>-5.7999999999999996E-2</v>
      </c>
      <c r="B120" s="66">
        <v>3.6769796312733263E-2</v>
      </c>
      <c r="C120" s="66">
        <v>1.6073896708605696E-2</v>
      </c>
      <c r="D120">
        <v>0.21367928213145757</v>
      </c>
      <c r="E120">
        <v>0</v>
      </c>
      <c r="F120">
        <v>2.3416961807960057E-2</v>
      </c>
      <c r="G120">
        <v>0</v>
      </c>
      <c r="H120">
        <v>3.6459036529478919E-2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0.20339033890911667</v>
      </c>
      <c r="O120">
        <v>4.4749743900467279E-2</v>
      </c>
      <c r="P120">
        <v>0</v>
      </c>
      <c r="Q120">
        <v>8.8445545138332998E-2</v>
      </c>
      <c r="R120">
        <v>0</v>
      </c>
      <c r="S120">
        <v>0</v>
      </c>
      <c r="T120">
        <v>0</v>
      </c>
      <c r="U120">
        <v>0.15191367363681249</v>
      </c>
      <c r="V120">
        <v>0</v>
      </c>
      <c r="W120">
        <v>0</v>
      </c>
      <c r="X120">
        <v>0.16727206562755434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7.0101649095279564E-2</v>
      </c>
      <c r="AE120">
        <v>5.7170322912124402E-4</v>
      </c>
      <c r="AF120">
        <v>0</v>
      </c>
      <c r="AG120" s="9">
        <v>0</v>
      </c>
    </row>
    <row r="121" spans="1:33" x14ac:dyDescent="0.3">
      <c r="A121" s="42">
        <v>-5.5999999999999994E-2</v>
      </c>
      <c r="B121" s="66">
        <v>3.6855006639186901E-2</v>
      </c>
      <c r="C121" s="66">
        <v>1.6243291671238537E-2</v>
      </c>
      <c r="D121">
        <v>0.20936590296509036</v>
      </c>
      <c r="E121">
        <v>0</v>
      </c>
      <c r="F121">
        <v>2.4086203139987716E-2</v>
      </c>
      <c r="G121">
        <v>0</v>
      </c>
      <c r="H121">
        <v>3.616917776725731E-2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0.20492169690524373</v>
      </c>
      <c r="O121">
        <v>4.5973096004633701E-2</v>
      </c>
      <c r="P121">
        <v>0</v>
      </c>
      <c r="Q121">
        <v>8.971151961061867E-2</v>
      </c>
      <c r="R121">
        <v>0</v>
      </c>
      <c r="S121">
        <v>0</v>
      </c>
      <c r="T121">
        <v>0</v>
      </c>
      <c r="U121">
        <v>0.15078584719244009</v>
      </c>
      <c r="V121">
        <v>0</v>
      </c>
      <c r="W121">
        <v>0</v>
      </c>
      <c r="X121">
        <v>0.16668313233657692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7.1732010824365131E-2</v>
      </c>
      <c r="AE121">
        <v>5.7141321950148253E-4</v>
      </c>
      <c r="AF121">
        <v>0</v>
      </c>
      <c r="AG121" s="9">
        <v>0</v>
      </c>
    </row>
    <row r="122" spans="1:33" x14ac:dyDescent="0.3">
      <c r="A122" s="31">
        <v>-5.3999999999999992E-2</v>
      </c>
      <c r="B122" s="66">
        <v>3.6950388682939969E-2</v>
      </c>
      <c r="C122" s="66">
        <v>1.6427984552942552E-2</v>
      </c>
      <c r="D122">
        <v>0.20525402260582556</v>
      </c>
      <c r="E122">
        <v>0</v>
      </c>
      <c r="F122">
        <v>2.5014422733034027E-2</v>
      </c>
      <c r="G122">
        <v>0</v>
      </c>
      <c r="H122">
        <v>3.4434635540329411E-2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0.20662205969783037</v>
      </c>
      <c r="O122">
        <v>4.8808055173824381E-2</v>
      </c>
      <c r="P122">
        <v>0</v>
      </c>
      <c r="Q122">
        <v>9.0684767578486897E-2</v>
      </c>
      <c r="R122">
        <v>0</v>
      </c>
      <c r="S122">
        <v>0</v>
      </c>
      <c r="T122">
        <v>0</v>
      </c>
      <c r="U122">
        <v>0.15127938193536669</v>
      </c>
      <c r="V122">
        <v>0</v>
      </c>
      <c r="W122">
        <v>0</v>
      </c>
      <c r="X122">
        <v>0.16504511774858924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7.2287668861986232E-2</v>
      </c>
      <c r="AE122">
        <v>5.6986823341822297E-4</v>
      </c>
      <c r="AF122">
        <v>0</v>
      </c>
      <c r="AG122" s="9">
        <v>0</v>
      </c>
    </row>
    <row r="123" spans="1:33" x14ac:dyDescent="0.3">
      <c r="A123" s="42">
        <v>-5.1999999999999991E-2</v>
      </c>
      <c r="B123" s="66">
        <v>3.7050080795065748E-2</v>
      </c>
      <c r="C123" s="66">
        <v>1.6615298777289574E-2</v>
      </c>
      <c r="D123">
        <v>0.20086564772940521</v>
      </c>
      <c r="E123">
        <v>0</v>
      </c>
      <c r="F123">
        <v>2.5900367202938396E-2</v>
      </c>
      <c r="G123">
        <v>0</v>
      </c>
      <c r="H123">
        <v>3.4021272994072309E-2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0.20855006443624932</v>
      </c>
      <c r="O123">
        <v>4.9989338732973274E-2</v>
      </c>
      <c r="P123">
        <v>0</v>
      </c>
      <c r="Q123">
        <v>9.1975842129248073E-2</v>
      </c>
      <c r="R123">
        <v>0</v>
      </c>
      <c r="S123">
        <v>0</v>
      </c>
      <c r="T123">
        <v>0</v>
      </c>
      <c r="U123">
        <v>0.15008266765723091</v>
      </c>
      <c r="V123">
        <v>0</v>
      </c>
      <c r="W123">
        <v>0</v>
      </c>
      <c r="X123">
        <v>0.16417550921123339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7.3870044578110208E-2</v>
      </c>
      <c r="AE123">
        <v>5.6924516901983113E-4</v>
      </c>
      <c r="AF123">
        <v>0</v>
      </c>
      <c r="AG123" s="9">
        <v>0</v>
      </c>
    </row>
    <row r="124" spans="1:33" x14ac:dyDescent="0.3">
      <c r="A124" s="31">
        <v>-4.9999999999999989E-2</v>
      </c>
      <c r="B124" s="66">
        <v>3.7160936744264864E-2</v>
      </c>
      <c r="C124" s="66">
        <v>1.6817643977983465E-2</v>
      </c>
      <c r="D124">
        <v>0.19610169991593038</v>
      </c>
      <c r="E124">
        <v>0</v>
      </c>
      <c r="F124">
        <v>2.6720332321846795E-2</v>
      </c>
      <c r="G124">
        <v>0</v>
      </c>
      <c r="H124">
        <v>3.3437153920298807E-2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0.21057678131819935</v>
      </c>
      <c r="O124">
        <v>5.1746088027460869E-2</v>
      </c>
      <c r="P124">
        <v>0</v>
      </c>
      <c r="Q124">
        <v>9.3399512345174504E-2</v>
      </c>
      <c r="R124">
        <v>0</v>
      </c>
      <c r="S124">
        <v>0</v>
      </c>
      <c r="T124">
        <v>0</v>
      </c>
      <c r="U124">
        <v>0.14876861734390104</v>
      </c>
      <c r="V124">
        <v>0</v>
      </c>
      <c r="W124">
        <v>0</v>
      </c>
      <c r="X124">
        <v>0.16318164579383032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7.5499603840469026E-2</v>
      </c>
      <c r="AE124">
        <v>5.6856466830107206E-4</v>
      </c>
      <c r="AF124">
        <v>0</v>
      </c>
      <c r="AG124" s="9">
        <v>0</v>
      </c>
    </row>
    <row r="125" spans="1:33" x14ac:dyDescent="0.3">
      <c r="A125" s="42">
        <v>-4.7999999999999987E-2</v>
      </c>
      <c r="B125" s="66">
        <v>3.7283105261932015E-2</v>
      </c>
      <c r="C125" s="66">
        <v>1.703406723720358E-2</v>
      </c>
      <c r="D125">
        <v>0.19100543042609053</v>
      </c>
      <c r="E125">
        <v>0</v>
      </c>
      <c r="F125">
        <v>2.7602167934100835E-2</v>
      </c>
      <c r="G125">
        <v>0</v>
      </c>
      <c r="H125">
        <v>3.2766321481832145E-2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0.21275648206399711</v>
      </c>
      <c r="O125">
        <v>5.3541010020238027E-2</v>
      </c>
      <c r="P125">
        <v>0</v>
      </c>
      <c r="Q125">
        <v>9.4905717805720227E-2</v>
      </c>
      <c r="R125">
        <v>0</v>
      </c>
      <c r="S125">
        <v>0</v>
      </c>
      <c r="T125">
        <v>0</v>
      </c>
      <c r="U125">
        <v>0.14751809280868067</v>
      </c>
      <c r="V125">
        <v>0</v>
      </c>
      <c r="W125">
        <v>0</v>
      </c>
      <c r="X125">
        <v>0.1620570332129955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7.7279869651625463E-2</v>
      </c>
      <c r="AE125">
        <v>5.6787402462828E-4</v>
      </c>
      <c r="AF125">
        <v>0</v>
      </c>
      <c r="AG125" s="9">
        <v>0</v>
      </c>
    </row>
    <row r="126" spans="1:33" x14ac:dyDescent="0.3">
      <c r="A126" s="31">
        <v>-4.5999999999999985E-2</v>
      </c>
      <c r="B126" s="66">
        <v>3.7418443573175517E-2</v>
      </c>
      <c r="C126" s="66">
        <v>1.7266551655247597E-2</v>
      </c>
      <c r="D126">
        <v>0.18553077075705263</v>
      </c>
      <c r="E126">
        <v>0</v>
      </c>
      <c r="F126">
        <v>2.8556610573959213E-2</v>
      </c>
      <c r="G126">
        <v>0</v>
      </c>
      <c r="H126">
        <v>3.201854282425446E-2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0.2151001930527788</v>
      </c>
      <c r="O126">
        <v>5.5516743609849289E-2</v>
      </c>
      <c r="P126">
        <v>0</v>
      </c>
      <c r="Q126">
        <v>9.6498412384525986E-2</v>
      </c>
      <c r="R126">
        <v>0</v>
      </c>
      <c r="S126">
        <v>0</v>
      </c>
      <c r="T126">
        <v>0</v>
      </c>
      <c r="U126">
        <v>0.14625932964951585</v>
      </c>
      <c r="V126">
        <v>0</v>
      </c>
      <c r="W126">
        <v>0</v>
      </c>
      <c r="X126">
        <v>0.16079325848793927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7.915898377343708E-2</v>
      </c>
      <c r="AE126">
        <v>5.6715401199321116E-4</v>
      </c>
      <c r="AF126">
        <v>0</v>
      </c>
      <c r="AG126" s="9">
        <v>0</v>
      </c>
    </row>
    <row r="127" spans="1:33" x14ac:dyDescent="0.3">
      <c r="A127" s="42">
        <v>-4.3999999999999997E-2</v>
      </c>
      <c r="B127" s="66">
        <v>3.7568487843165729E-2</v>
      </c>
      <c r="C127" s="66">
        <v>1.7516252865518521E-2</v>
      </c>
      <c r="D127">
        <v>0.17964149883297079</v>
      </c>
      <c r="E127">
        <v>0</v>
      </c>
      <c r="F127">
        <v>2.9585900991305123E-2</v>
      </c>
      <c r="G127">
        <v>0</v>
      </c>
      <c r="H127">
        <v>3.11912211920485E-2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0.21761508128304344</v>
      </c>
      <c r="O127">
        <v>5.7667776693823822E-2</v>
      </c>
      <c r="P127">
        <v>0</v>
      </c>
      <c r="Q127">
        <v>9.8191705622100417E-2</v>
      </c>
      <c r="R127">
        <v>0</v>
      </c>
      <c r="S127">
        <v>0</v>
      </c>
      <c r="T127">
        <v>0</v>
      </c>
      <c r="U127">
        <v>0.14497283152535864</v>
      </c>
      <c r="V127">
        <v>0</v>
      </c>
      <c r="W127">
        <v>0</v>
      </c>
      <c r="X127">
        <v>0.15940839887747929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8.1159194411104127E-2</v>
      </c>
      <c r="AE127">
        <v>5.6638941286371515E-4</v>
      </c>
      <c r="AF127">
        <v>0</v>
      </c>
      <c r="AG127" s="9">
        <v>0</v>
      </c>
    </row>
    <row r="128" spans="1:33" x14ac:dyDescent="0.3">
      <c r="A128" s="31">
        <v>-4.1999999999999996E-2</v>
      </c>
      <c r="B128" s="66">
        <v>3.7735372697748321E-2</v>
      </c>
      <c r="C128" s="66">
        <v>1.7785065909444665E-2</v>
      </c>
      <c r="D128">
        <v>0.17328826029505037</v>
      </c>
      <c r="E128">
        <v>0</v>
      </c>
      <c r="F128">
        <v>3.0696276314554814E-2</v>
      </c>
      <c r="G128">
        <v>0</v>
      </c>
      <c r="H128">
        <v>3.0274392216586652E-2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0.22031972038803962</v>
      </c>
      <c r="O128">
        <v>6.001893772671283E-2</v>
      </c>
      <c r="P128">
        <v>0</v>
      </c>
      <c r="Q128">
        <v>9.999625724931463E-2</v>
      </c>
      <c r="R128">
        <v>0</v>
      </c>
      <c r="S128">
        <v>0</v>
      </c>
      <c r="T128">
        <v>0</v>
      </c>
      <c r="U128">
        <v>0.14367559257091739</v>
      </c>
      <c r="V128">
        <v>0</v>
      </c>
      <c r="W128">
        <v>0</v>
      </c>
      <c r="X128">
        <v>0.15787581945105678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8.3289184519738796E-2</v>
      </c>
      <c r="AE128">
        <v>5.6555802712653037E-4</v>
      </c>
      <c r="AF128">
        <v>0</v>
      </c>
      <c r="AG128" s="9">
        <v>0</v>
      </c>
    </row>
    <row r="129" spans="1:33" x14ac:dyDescent="0.3">
      <c r="A129" s="42">
        <v>-3.9999999999999994E-2</v>
      </c>
      <c r="B129" s="66">
        <v>3.7925970483455987E-2</v>
      </c>
      <c r="C129" s="66">
        <v>1.8081980003544128E-2</v>
      </c>
      <c r="D129">
        <v>0.16739668052819331</v>
      </c>
      <c r="E129">
        <v>0</v>
      </c>
      <c r="F129">
        <v>3.17767977304605E-2</v>
      </c>
      <c r="G129">
        <v>0</v>
      </c>
      <c r="H129">
        <v>2.7683084478659845E-2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0.2231727112563324</v>
      </c>
      <c r="O129">
        <v>6.2759259351814214E-2</v>
      </c>
      <c r="P129">
        <v>0</v>
      </c>
      <c r="Q129">
        <v>0.10229992431515163</v>
      </c>
      <c r="R129">
        <v>0</v>
      </c>
      <c r="S129">
        <v>0</v>
      </c>
      <c r="T129">
        <v>0</v>
      </c>
      <c r="U129">
        <v>0.1430291935627839</v>
      </c>
      <c r="V129">
        <v>0</v>
      </c>
      <c r="W129">
        <v>0</v>
      </c>
      <c r="X129">
        <v>0.15549772624617983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8.582176057675496E-2</v>
      </c>
      <c r="AE129">
        <v>5.6286078135848821E-4</v>
      </c>
      <c r="AF129">
        <v>0</v>
      </c>
      <c r="AG129" s="9">
        <v>0</v>
      </c>
    </row>
    <row r="130" spans="1:33" x14ac:dyDescent="0.3">
      <c r="A130" s="31">
        <v>-3.7999999999999992E-2</v>
      </c>
      <c r="B130" s="66">
        <v>3.8128608475406701E-2</v>
      </c>
      <c r="C130" s="66">
        <v>1.8386787146809816E-2</v>
      </c>
      <c r="D130">
        <v>0.15980934636863509</v>
      </c>
      <c r="E130">
        <v>0</v>
      </c>
      <c r="F130">
        <v>3.3108388223587665E-2</v>
      </c>
      <c r="G130">
        <v>0</v>
      </c>
      <c r="H130">
        <v>2.7345760677520994E-2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0.22632396290981072</v>
      </c>
      <c r="O130">
        <v>6.509176313819369E-2</v>
      </c>
      <c r="P130">
        <v>0</v>
      </c>
      <c r="Q130">
        <v>0.10427016247732794</v>
      </c>
      <c r="R130">
        <v>0</v>
      </c>
      <c r="S130">
        <v>0</v>
      </c>
      <c r="T130">
        <v>0</v>
      </c>
      <c r="U130">
        <v>0.14116056958183262</v>
      </c>
      <c r="V130">
        <v>0</v>
      </c>
      <c r="W130">
        <v>0</v>
      </c>
      <c r="X130">
        <v>0.15403840366828805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8.8289416264347734E-2</v>
      </c>
      <c r="AE130">
        <v>5.6222567998080644E-4</v>
      </c>
      <c r="AF130">
        <v>0</v>
      </c>
      <c r="AG130" s="9">
        <v>0</v>
      </c>
    </row>
    <row r="131" spans="1:33" x14ac:dyDescent="0.3">
      <c r="A131" s="42">
        <v>-3.599999999999999E-2</v>
      </c>
      <c r="B131" s="66">
        <v>3.8364360769173253E-2</v>
      </c>
      <c r="C131" s="66">
        <v>1.8729142468904236E-2</v>
      </c>
      <c r="D131">
        <v>0.15143896833800169</v>
      </c>
      <c r="E131">
        <v>0</v>
      </c>
      <c r="F131">
        <v>3.4499292631128407E-2</v>
      </c>
      <c r="G131">
        <v>0</v>
      </c>
      <c r="H131">
        <v>2.6353042957244895E-2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0.22973863052736435</v>
      </c>
      <c r="O131">
        <v>6.8204473296952409E-2</v>
      </c>
      <c r="P131">
        <v>0</v>
      </c>
      <c r="Q131">
        <v>0.10655710270627279</v>
      </c>
      <c r="R131">
        <v>0</v>
      </c>
      <c r="S131">
        <v>0</v>
      </c>
      <c r="T131">
        <v>0</v>
      </c>
      <c r="U131">
        <v>0.13934459643619374</v>
      </c>
      <c r="V131">
        <v>0</v>
      </c>
      <c r="W131">
        <v>0</v>
      </c>
      <c r="X131">
        <v>0.15238574701838459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9.0917192888801526E-2</v>
      </c>
      <c r="AE131">
        <v>5.6095219517407317E-4</v>
      </c>
      <c r="AF131">
        <v>0</v>
      </c>
      <c r="AG131" s="9">
        <v>0</v>
      </c>
    </row>
    <row r="132" spans="1:33" x14ac:dyDescent="0.3">
      <c r="A132" s="31">
        <v>-3.3999999999999989E-2</v>
      </c>
      <c r="B132" s="66">
        <v>3.8629261810915291E-2</v>
      </c>
      <c r="C132" s="66">
        <v>1.9099962507162664E-2</v>
      </c>
      <c r="D132">
        <v>0.14260749706861817</v>
      </c>
      <c r="E132">
        <v>0</v>
      </c>
      <c r="F132">
        <v>3.6015179764331502E-2</v>
      </c>
      <c r="G132">
        <v>0</v>
      </c>
      <c r="H132">
        <v>2.5346284098760209E-2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0.23351538900478619</v>
      </c>
      <c r="O132">
        <v>7.1417976382407058E-2</v>
      </c>
      <c r="P132">
        <v>0</v>
      </c>
      <c r="Q132">
        <v>0.10899096021885096</v>
      </c>
      <c r="R132">
        <v>0</v>
      </c>
      <c r="S132">
        <v>0</v>
      </c>
      <c r="T132">
        <v>0</v>
      </c>
      <c r="U132">
        <v>0.13752183875626039</v>
      </c>
      <c r="V132">
        <v>0</v>
      </c>
      <c r="W132">
        <v>0</v>
      </c>
      <c r="X132">
        <v>0.15008079091162269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9.394432730018018E-2</v>
      </c>
      <c r="AE132">
        <v>5.5975551006888155E-4</v>
      </c>
      <c r="AF132">
        <v>0</v>
      </c>
      <c r="AG132" s="9">
        <v>0</v>
      </c>
    </row>
    <row r="133" spans="1:33" x14ac:dyDescent="0.3">
      <c r="A133" s="42">
        <v>-3.1999999999999987E-2</v>
      </c>
      <c r="B133" s="66">
        <v>3.8930684555753929E-2</v>
      </c>
      <c r="C133" s="66">
        <v>1.9506509856527049E-2</v>
      </c>
      <c r="D133">
        <v>0.13459800455799378</v>
      </c>
      <c r="E133">
        <v>0</v>
      </c>
      <c r="F133">
        <v>3.7731501538060444E-2</v>
      </c>
      <c r="G133">
        <v>0</v>
      </c>
      <c r="H133">
        <v>2.1969724687521897E-2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0.23740950350402218</v>
      </c>
      <c r="O133">
        <v>7.4649010184488648E-2</v>
      </c>
      <c r="P133">
        <v>0</v>
      </c>
      <c r="Q133">
        <v>0.11216636062276669</v>
      </c>
      <c r="R133">
        <v>0</v>
      </c>
      <c r="S133">
        <v>0</v>
      </c>
      <c r="T133">
        <v>0</v>
      </c>
      <c r="U133">
        <v>0.13628594893016235</v>
      </c>
      <c r="V133">
        <v>0</v>
      </c>
      <c r="W133">
        <v>0</v>
      </c>
      <c r="X133">
        <v>0.14722108464165029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9.7413245430796797E-2</v>
      </c>
      <c r="AE133">
        <v>5.5561473574233832E-4</v>
      </c>
      <c r="AF133">
        <v>0</v>
      </c>
      <c r="AG133" s="9">
        <v>0</v>
      </c>
    </row>
    <row r="134" spans="1:33" x14ac:dyDescent="0.3">
      <c r="A134" s="31">
        <v>-0.03</v>
      </c>
      <c r="B134" s="66">
        <v>3.9270992523672311E-2</v>
      </c>
      <c r="C134" s="66">
        <v>1.9947821495769E-2</v>
      </c>
      <c r="D134">
        <v>0.12357135836446019</v>
      </c>
      <c r="E134">
        <v>0</v>
      </c>
      <c r="F134">
        <v>3.9423352348958093E-2</v>
      </c>
      <c r="G134">
        <v>0</v>
      </c>
      <c r="H134">
        <v>2.1535036121027671E-2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0.24200497459947592</v>
      </c>
      <c r="O134">
        <v>7.8350348946949422E-2</v>
      </c>
      <c r="P134">
        <v>0</v>
      </c>
      <c r="Q134">
        <v>0.11510656512625694</v>
      </c>
      <c r="R134">
        <v>0</v>
      </c>
      <c r="S134">
        <v>0</v>
      </c>
      <c r="T134">
        <v>0</v>
      </c>
      <c r="U134">
        <v>0.13341908737743444</v>
      </c>
      <c r="V134">
        <v>0</v>
      </c>
      <c r="W134">
        <v>0</v>
      </c>
      <c r="X134">
        <v>0.14499379685587407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0.10104082425739255</v>
      </c>
      <c r="AE134">
        <v>5.5465457272817686E-4</v>
      </c>
      <c r="AF134">
        <v>0</v>
      </c>
      <c r="AG134" s="9">
        <v>0</v>
      </c>
    </row>
    <row r="135" spans="1:33" x14ac:dyDescent="0.3">
      <c r="A135" s="42">
        <v>-2.7999999999999997E-2</v>
      </c>
      <c r="B135" s="66">
        <v>3.9668414437335445E-2</v>
      </c>
      <c r="C135" s="66">
        <v>2.0443133974140708E-2</v>
      </c>
      <c r="D135">
        <v>0.11311475119816838</v>
      </c>
      <c r="E135">
        <v>0</v>
      </c>
      <c r="F135">
        <v>4.1505627547475415E-2</v>
      </c>
      <c r="G135">
        <v>0</v>
      </c>
      <c r="H135">
        <v>1.8203607744641779E-2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0.24676797085248858</v>
      </c>
      <c r="O135">
        <v>8.2696581263912924E-2</v>
      </c>
      <c r="P135">
        <v>0</v>
      </c>
      <c r="Q135">
        <v>0.11876367373592177</v>
      </c>
      <c r="R135">
        <v>0</v>
      </c>
      <c r="S135">
        <v>0</v>
      </c>
      <c r="T135">
        <v>0</v>
      </c>
      <c r="U135">
        <v>0.13153060065172556</v>
      </c>
      <c r="V135">
        <v>0</v>
      </c>
      <c r="W135">
        <v>0</v>
      </c>
      <c r="X135">
        <v>0.14180643010948835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0.10506200949737145</v>
      </c>
      <c r="AE135">
        <v>5.4874556842470835E-4</v>
      </c>
      <c r="AF135">
        <v>0</v>
      </c>
      <c r="AG135" s="9">
        <v>0</v>
      </c>
    </row>
    <row r="136" spans="1:33" x14ac:dyDescent="0.3">
      <c r="A136" s="31">
        <v>-2.5999999999999995E-2</v>
      </c>
      <c r="B136" s="66">
        <v>4.0117287987212175E-2</v>
      </c>
      <c r="C136" s="66">
        <v>2.097983359729743E-2</v>
      </c>
      <c r="D136">
        <v>9.987524905653529E-2</v>
      </c>
      <c r="E136">
        <v>0</v>
      </c>
      <c r="F136">
        <v>4.3617087061910448E-2</v>
      </c>
      <c r="G136">
        <v>0</v>
      </c>
      <c r="H136">
        <v>1.7861230423079792E-2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0.25247107291628096</v>
      </c>
      <c r="O136">
        <v>8.7000537928702076E-2</v>
      </c>
      <c r="P136">
        <v>0</v>
      </c>
      <c r="Q136">
        <v>0.12233469123317756</v>
      </c>
      <c r="R136">
        <v>0</v>
      </c>
      <c r="S136">
        <v>0</v>
      </c>
      <c r="T136">
        <v>0</v>
      </c>
      <c r="U136">
        <v>0.12787006332938539</v>
      </c>
      <c r="V136">
        <v>0</v>
      </c>
      <c r="W136">
        <v>0</v>
      </c>
      <c r="X136">
        <v>0.13894675516866287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0.10947539902364589</v>
      </c>
      <c r="AE136">
        <v>5.4791223396668967E-4</v>
      </c>
      <c r="AF136">
        <v>0</v>
      </c>
      <c r="AG136" s="9">
        <v>0</v>
      </c>
    </row>
    <row r="137" spans="1:33" x14ac:dyDescent="0.3">
      <c r="A137" s="42">
        <v>-2.3999999999999994E-2</v>
      </c>
      <c r="B137" s="66">
        <v>4.0654444687291853E-2</v>
      </c>
      <c r="C137" s="66">
        <v>2.1595596123756382E-2</v>
      </c>
      <c r="D137">
        <v>8.6576352687439712E-2</v>
      </c>
      <c r="E137">
        <v>0</v>
      </c>
      <c r="F137">
        <v>4.6216565111961476E-2</v>
      </c>
      <c r="G137">
        <v>0</v>
      </c>
      <c r="H137">
        <v>1.3644592035897386E-2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0.25826398006847945</v>
      </c>
      <c r="O137">
        <v>9.2624994174988221E-2</v>
      </c>
      <c r="P137">
        <v>0</v>
      </c>
      <c r="Q137">
        <v>0.1268130855963176</v>
      </c>
      <c r="R137">
        <v>0</v>
      </c>
      <c r="S137">
        <v>0</v>
      </c>
      <c r="T137">
        <v>0</v>
      </c>
      <c r="U137">
        <v>0.12578713508914183</v>
      </c>
      <c r="V137">
        <v>0</v>
      </c>
      <c r="W137">
        <v>0</v>
      </c>
      <c r="X137">
        <v>0.13514658695431173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0.11438794140566805</v>
      </c>
      <c r="AE137">
        <v>5.3876552971574433E-4</v>
      </c>
      <c r="AF137">
        <v>0</v>
      </c>
      <c r="AG137" s="9">
        <v>0</v>
      </c>
    </row>
    <row r="138" spans="1:33" x14ac:dyDescent="0.3">
      <c r="A138" s="31">
        <v>-2.1999999999999992E-2</v>
      </c>
      <c r="B138" s="66">
        <v>4.128126164539183E-2</v>
      </c>
      <c r="C138" s="66">
        <v>2.2282910856320823E-2</v>
      </c>
      <c r="D138">
        <v>7.0829811868102083E-2</v>
      </c>
      <c r="E138">
        <v>0</v>
      </c>
      <c r="F138">
        <v>4.9028024012209653E-2</v>
      </c>
      <c r="G138">
        <v>0</v>
      </c>
      <c r="H138">
        <v>1.0905734450506192E-2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0.26518544231337371</v>
      </c>
      <c r="O138">
        <v>9.829696087206681E-2</v>
      </c>
      <c r="P138">
        <v>0</v>
      </c>
      <c r="Q138">
        <v>0.13162055972760983</v>
      </c>
      <c r="R138">
        <v>0</v>
      </c>
      <c r="S138">
        <v>0</v>
      </c>
      <c r="T138">
        <v>0</v>
      </c>
      <c r="U138">
        <v>0.12237564744374953</v>
      </c>
      <c r="V138">
        <v>0</v>
      </c>
      <c r="W138">
        <v>0</v>
      </c>
      <c r="X138">
        <v>0.13116324896762249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0.12006958992394931</v>
      </c>
      <c r="AE138">
        <v>5.2497881256485563E-4</v>
      </c>
      <c r="AF138">
        <v>0</v>
      </c>
      <c r="AG138" s="9">
        <v>0</v>
      </c>
    </row>
    <row r="139" spans="1:33" x14ac:dyDescent="0.3">
      <c r="A139" s="42">
        <v>-1.999999999999999E-2</v>
      </c>
      <c r="B139" s="66">
        <v>4.2013526335945135E-2</v>
      </c>
      <c r="C139" s="66">
        <v>2.3050200093624251E-2</v>
      </c>
      <c r="D139">
        <v>5.1676348352255923E-2</v>
      </c>
      <c r="E139">
        <v>0</v>
      </c>
      <c r="F139">
        <v>5.2111446487318157E-2</v>
      </c>
      <c r="G139">
        <v>0</v>
      </c>
      <c r="H139">
        <v>1.0541821066401436E-2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0.27328209966521877</v>
      </c>
      <c r="O139">
        <v>0.10424646924584338</v>
      </c>
      <c r="P139">
        <v>0</v>
      </c>
      <c r="Q139">
        <v>0.13661653085476019</v>
      </c>
      <c r="R139">
        <v>0</v>
      </c>
      <c r="S139">
        <v>0</v>
      </c>
      <c r="T139">
        <v>0</v>
      </c>
      <c r="U139">
        <v>0.11711622128808999</v>
      </c>
      <c r="V139">
        <v>0</v>
      </c>
      <c r="W139">
        <v>0</v>
      </c>
      <c r="X139">
        <v>0.12727861869145821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0.12660709396707254</v>
      </c>
      <c r="AE139">
        <v>5.2334770495283739E-4</v>
      </c>
      <c r="AF139">
        <v>0</v>
      </c>
      <c r="AG139" s="9">
        <v>0</v>
      </c>
    </row>
    <row r="140" spans="1:33" x14ac:dyDescent="0.3">
      <c r="A140" s="31">
        <v>-1.7999999999999988E-2</v>
      </c>
      <c r="B140" s="66">
        <v>4.290231365135757E-2</v>
      </c>
      <c r="C140" s="66">
        <v>2.3939654424300079E-2</v>
      </c>
      <c r="D140">
        <v>3.273969339147028E-2</v>
      </c>
      <c r="E140">
        <v>0</v>
      </c>
      <c r="F140">
        <v>5.5804037790420251E-2</v>
      </c>
      <c r="G140">
        <v>0</v>
      </c>
      <c r="H140">
        <v>4.3463291608553788E-3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0.28176629811971415</v>
      </c>
      <c r="O140">
        <v>0.11235302377431212</v>
      </c>
      <c r="P140">
        <v>0</v>
      </c>
      <c r="Q140">
        <v>0.1431949607185147</v>
      </c>
      <c r="R140">
        <v>0</v>
      </c>
      <c r="S140">
        <v>0</v>
      </c>
      <c r="T140">
        <v>0</v>
      </c>
      <c r="U140">
        <v>0.11413534760100516</v>
      </c>
      <c r="V140">
        <v>0</v>
      </c>
      <c r="W140">
        <v>0</v>
      </c>
      <c r="X140">
        <v>0.12158700114135736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0.13357971924199238</v>
      </c>
      <c r="AE140">
        <v>4.9358652441759026E-4</v>
      </c>
      <c r="AF140">
        <v>0</v>
      </c>
      <c r="AG140" s="9">
        <v>0</v>
      </c>
    </row>
    <row r="141" spans="1:33" x14ac:dyDescent="0.3">
      <c r="A141" s="42">
        <v>-1.5999999999999986E-2</v>
      </c>
      <c r="B141" s="66">
        <v>4.3950911554823918E-2</v>
      </c>
      <c r="C141" s="66">
        <v>2.4939699116115883E-2</v>
      </c>
      <c r="D141">
        <v>7.7806191012498157E-3</v>
      </c>
      <c r="E141">
        <v>0</v>
      </c>
      <c r="F141">
        <v>5.9808436943087628E-2</v>
      </c>
      <c r="G141">
        <v>0</v>
      </c>
      <c r="H141">
        <v>4.0506629717325209E-3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0.29232030372272533</v>
      </c>
      <c r="O141">
        <v>0.12030150579462749</v>
      </c>
      <c r="P141">
        <v>0</v>
      </c>
      <c r="Q141">
        <v>0.14974172927256793</v>
      </c>
      <c r="R141">
        <v>0</v>
      </c>
      <c r="S141">
        <v>0</v>
      </c>
      <c r="T141">
        <v>0</v>
      </c>
      <c r="U141">
        <v>0.10701998727653855</v>
      </c>
      <c r="V141">
        <v>0</v>
      </c>
      <c r="W141">
        <v>0</v>
      </c>
      <c r="X141">
        <v>0.1165202840983149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0.14196884495678372</v>
      </c>
      <c r="AE141">
        <v>4.876249160646944E-4</v>
      </c>
      <c r="AF141">
        <v>0</v>
      </c>
      <c r="AG141" s="9">
        <v>0</v>
      </c>
    </row>
    <row r="142" spans="1:33" x14ac:dyDescent="0.3">
      <c r="A142" s="41">
        <v>-1.3999999999999985E-2</v>
      </c>
      <c r="B142" s="66">
        <v>4.4737672765989243E-2</v>
      </c>
      <c r="C142" s="66">
        <v>2.5657871836915359E-2</v>
      </c>
      <c r="D142">
        <v>0</v>
      </c>
      <c r="E142">
        <v>0</v>
      </c>
      <c r="F142">
        <v>6.225700996706094E-2</v>
      </c>
      <c r="G142">
        <v>0</v>
      </c>
      <c r="H142">
        <v>2.3378350466621823E-3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0.30143473381086522</v>
      </c>
      <c r="O142">
        <v>0.12418345357288904</v>
      </c>
      <c r="P142">
        <v>0</v>
      </c>
      <c r="Q142">
        <v>0.157213521837412</v>
      </c>
      <c r="R142">
        <v>0</v>
      </c>
      <c r="S142">
        <v>0</v>
      </c>
      <c r="T142">
        <v>0</v>
      </c>
      <c r="U142">
        <v>9.4659278229668423E-2</v>
      </c>
      <c r="V142">
        <v>0</v>
      </c>
      <c r="W142">
        <v>0</v>
      </c>
      <c r="X142">
        <v>0.10789802926608033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0.14956041732242081</v>
      </c>
      <c r="AE142">
        <v>4.557203592058536E-4</v>
      </c>
      <c r="AF142">
        <v>0</v>
      </c>
      <c r="AG142" s="9">
        <v>0</v>
      </c>
    </row>
    <row r="143" spans="1:33" x14ac:dyDescent="0.3">
      <c r="A143" s="41">
        <v>-1.1999999999999983E-2</v>
      </c>
      <c r="B143" s="66">
        <v>4.5461251162145479E-2</v>
      </c>
      <c r="C143" s="66">
        <v>2.6284918699991316E-2</v>
      </c>
      <c r="D143">
        <v>0</v>
      </c>
      <c r="E143">
        <v>0</v>
      </c>
      <c r="F143">
        <v>6.4559342939199682E-2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0.31075315843954043</v>
      </c>
      <c r="O143">
        <v>0.12581809078694697</v>
      </c>
      <c r="P143">
        <v>0</v>
      </c>
      <c r="Q143">
        <v>0.16498082925224128</v>
      </c>
      <c r="R143">
        <v>0</v>
      </c>
      <c r="S143">
        <v>0</v>
      </c>
      <c r="T143">
        <v>0</v>
      </c>
      <c r="U143">
        <v>7.9871737563957601E-2</v>
      </c>
      <c r="V143">
        <v>0</v>
      </c>
      <c r="W143">
        <v>0</v>
      </c>
      <c r="X143">
        <v>9.6608790262337596E-2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0.15705342428082103</v>
      </c>
      <c r="AE143">
        <v>3.5462522482609124E-4</v>
      </c>
      <c r="AF143">
        <v>0</v>
      </c>
      <c r="AG143" s="9">
        <v>0</v>
      </c>
    </row>
    <row r="144" spans="1:33" x14ac:dyDescent="0.3">
      <c r="A144" s="41">
        <v>-9.9999999999999811E-3</v>
      </c>
      <c r="B144" s="66">
        <v>4.6297255809492836E-2</v>
      </c>
      <c r="C144" s="66">
        <v>2.6970102555683963E-2</v>
      </c>
      <c r="D144">
        <v>0</v>
      </c>
      <c r="E144">
        <v>0</v>
      </c>
      <c r="F144">
        <v>6.6911401818974245E-2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0.32132813057065485</v>
      </c>
      <c r="O144">
        <v>0.12721823512783856</v>
      </c>
      <c r="P144">
        <v>0</v>
      </c>
      <c r="Q144">
        <v>0.1737223931989767</v>
      </c>
      <c r="R144">
        <v>0</v>
      </c>
      <c r="S144">
        <v>0</v>
      </c>
      <c r="T144">
        <v>0</v>
      </c>
      <c r="U144">
        <v>6.0916586698060257E-2</v>
      </c>
      <c r="V144">
        <v>0</v>
      </c>
      <c r="W144">
        <v>0</v>
      </c>
      <c r="X144">
        <v>8.3915260489034305E-2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0.16563561668761312</v>
      </c>
      <c r="AE144">
        <v>3.5237334179114455E-4</v>
      </c>
      <c r="AF144">
        <v>0</v>
      </c>
      <c r="AG144" s="9">
        <v>0</v>
      </c>
    </row>
    <row r="145" spans="1:33" x14ac:dyDescent="0.3">
      <c r="A145" s="41">
        <v>-7.9999999999999793E-3</v>
      </c>
      <c r="B145" s="66">
        <v>4.7320853326737994E-2</v>
      </c>
      <c r="C145" s="66">
        <v>2.7764780624981996E-2</v>
      </c>
      <c r="D145">
        <v>0</v>
      </c>
      <c r="E145">
        <v>0</v>
      </c>
      <c r="F145">
        <v>6.9544022709155578E-2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0.33369369050292241</v>
      </c>
      <c r="O145">
        <v>0.12875660940333067</v>
      </c>
      <c r="P145">
        <v>0</v>
      </c>
      <c r="Q145">
        <v>0.18390488227232774</v>
      </c>
      <c r="R145">
        <v>0</v>
      </c>
      <c r="S145">
        <v>0</v>
      </c>
      <c r="T145">
        <v>0</v>
      </c>
      <c r="U145">
        <v>3.8714978018106791E-2</v>
      </c>
      <c r="V145">
        <v>0</v>
      </c>
      <c r="W145">
        <v>0</v>
      </c>
      <c r="X145">
        <v>6.9385839512220993E-2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0.17565200701309158</v>
      </c>
      <c r="AE145">
        <v>3.4796987736589782E-4</v>
      </c>
      <c r="AF145">
        <v>0</v>
      </c>
      <c r="AG145" s="9">
        <v>0</v>
      </c>
    </row>
    <row r="146" spans="1:33" x14ac:dyDescent="0.3">
      <c r="A146" s="41">
        <v>-5.9999999999999776E-3</v>
      </c>
      <c r="B146" s="66">
        <v>4.8591630000914897E-2</v>
      </c>
      <c r="C146" s="66">
        <v>2.8697625971879585E-2</v>
      </c>
      <c r="D146">
        <v>0</v>
      </c>
      <c r="E146">
        <v>0</v>
      </c>
      <c r="F146">
        <v>7.2635739910347163E-2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0.34820732414356398</v>
      </c>
      <c r="O146">
        <v>0.13056538136703041</v>
      </c>
      <c r="P146">
        <v>0</v>
      </c>
      <c r="Q146">
        <v>0.19585792644345193</v>
      </c>
      <c r="R146">
        <v>0</v>
      </c>
      <c r="S146">
        <v>0</v>
      </c>
      <c r="T146">
        <v>0</v>
      </c>
      <c r="U146">
        <v>1.2646768106724335E-2</v>
      </c>
      <c r="V146">
        <v>0</v>
      </c>
      <c r="W146">
        <v>0</v>
      </c>
      <c r="X146">
        <v>5.2343159145573276E-2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0.18740735469417874</v>
      </c>
      <c r="AE146">
        <v>3.3634611787093812E-4</v>
      </c>
      <c r="AF146">
        <v>0</v>
      </c>
      <c r="AG146" s="9">
        <v>0</v>
      </c>
    </row>
    <row r="147" spans="1:33" x14ac:dyDescent="0.3">
      <c r="A147" s="41">
        <v>-4.0000000000000036E-3</v>
      </c>
      <c r="B147" s="67">
        <v>4.9588441351101818E-2</v>
      </c>
      <c r="C147" s="66">
        <v>2.9388339009983125E-2</v>
      </c>
      <c r="D147">
        <v>0</v>
      </c>
      <c r="E147">
        <v>0</v>
      </c>
      <c r="F147">
        <v>7.6438343639145034E-2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0.36054048088771334</v>
      </c>
      <c r="O147">
        <v>0.13096179044878858</v>
      </c>
      <c r="P147">
        <v>0</v>
      </c>
      <c r="Q147">
        <v>0.20239536716429357</v>
      </c>
      <c r="R147">
        <v>0</v>
      </c>
      <c r="S147">
        <v>0</v>
      </c>
      <c r="T147">
        <v>0</v>
      </c>
      <c r="U147">
        <v>1.1024635943437071E-2</v>
      </c>
      <c r="V147">
        <v>0</v>
      </c>
      <c r="W147">
        <v>0</v>
      </c>
      <c r="X147">
        <v>2.6487620199897546E-2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0.19182022397550658</v>
      </c>
      <c r="AE147">
        <v>3.315379198316912E-4</v>
      </c>
      <c r="AF147">
        <v>0</v>
      </c>
      <c r="AG147" s="9">
        <v>0</v>
      </c>
    </row>
    <row r="148" spans="1:33" x14ac:dyDescent="0.3">
      <c r="A148" s="31">
        <v>-2.0000000000000018E-3</v>
      </c>
      <c r="B148" s="66">
        <v>5.0943445780731615E-2</v>
      </c>
      <c r="C148" s="66">
        <v>3.0284354704592689E-2</v>
      </c>
      <c r="D148">
        <v>0</v>
      </c>
      <c r="E148">
        <v>0</v>
      </c>
      <c r="F148">
        <v>8.0820546974696011E-2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0.37593284813397532</v>
      </c>
      <c r="O148">
        <v>0.13173754000889246</v>
      </c>
      <c r="P148">
        <v>0</v>
      </c>
      <c r="Q148">
        <v>0.21188947551313933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0.19931867840621029</v>
      </c>
      <c r="AE148">
        <v>3.0091204685565376E-4</v>
      </c>
      <c r="AF148">
        <v>0</v>
      </c>
      <c r="AG148" s="9">
        <v>0</v>
      </c>
    </row>
    <row r="149" spans="1:33" x14ac:dyDescent="0.3">
      <c r="A149" s="31">
        <v>0</v>
      </c>
      <c r="B149" s="66">
        <v>5.1224628545397062E-2</v>
      </c>
      <c r="C149" s="66">
        <v>3.0457012744117579E-2</v>
      </c>
      <c r="D149">
        <v>0</v>
      </c>
      <c r="E149">
        <v>0</v>
      </c>
      <c r="F149">
        <v>8.2688509676002622E-2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0.38124015009691486</v>
      </c>
      <c r="O149">
        <v>0.12227371108321189</v>
      </c>
      <c r="P149">
        <v>0</v>
      </c>
      <c r="Q149">
        <v>0.21617444439176314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0.19732347238712789</v>
      </c>
      <c r="AE149">
        <v>2.9971391564304344E-4</v>
      </c>
      <c r="AF149">
        <v>0</v>
      </c>
      <c r="AG149" s="9">
        <v>0</v>
      </c>
    </row>
    <row r="150" spans="1:33" x14ac:dyDescent="0.3">
      <c r="A150" s="31">
        <v>2.0000000000000018E-3</v>
      </c>
      <c r="B150" s="66">
        <v>5.1562878308333331E-2</v>
      </c>
      <c r="C150" s="66">
        <v>3.0651300765092985E-2</v>
      </c>
      <c r="D150">
        <v>0</v>
      </c>
      <c r="E150">
        <v>0</v>
      </c>
      <c r="F150">
        <v>8.513857211355462E-2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0.38727013131481858</v>
      </c>
      <c r="O150">
        <v>0.11206414408449526</v>
      </c>
      <c r="P150">
        <v>0</v>
      </c>
      <c r="Q150">
        <v>0.22047703208062408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0.19475201385866778</v>
      </c>
      <c r="AE150">
        <v>2.9810822201771129E-4</v>
      </c>
      <c r="AF150">
        <v>0</v>
      </c>
      <c r="AG150" s="9">
        <v>0</v>
      </c>
    </row>
    <row r="151" spans="1:33" x14ac:dyDescent="0.3">
      <c r="A151" s="31">
        <v>4.0000000000000036E-3</v>
      </c>
      <c r="B151" s="66">
        <v>5.1993373238166163E-2</v>
      </c>
      <c r="C151" s="66">
        <v>3.0884105161689095E-2</v>
      </c>
      <c r="D151">
        <v>0</v>
      </c>
      <c r="E151">
        <v>0</v>
      </c>
      <c r="F151">
        <v>8.8022046652686273E-2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0.39433273691227844</v>
      </c>
      <c r="O151">
        <v>0.10029899117105351</v>
      </c>
      <c r="P151">
        <v>0</v>
      </c>
      <c r="Q151">
        <v>0.22555443252743143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0.19179179456743653</v>
      </c>
      <c r="AE151">
        <v>0</v>
      </c>
      <c r="AF151">
        <v>0</v>
      </c>
      <c r="AG151" s="9">
        <v>0</v>
      </c>
    </row>
    <row r="152" spans="1:33" x14ac:dyDescent="0.3">
      <c r="A152" s="31">
        <v>6.0000000000000053E-3</v>
      </c>
      <c r="B152" s="66">
        <v>5.2532413433624546E-2</v>
      </c>
      <c r="C152" s="66">
        <v>3.1152059673179092E-2</v>
      </c>
      <c r="D152">
        <v>0</v>
      </c>
      <c r="E152">
        <v>0</v>
      </c>
      <c r="F152">
        <v>9.1403208606174749E-2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0.40264979106921595</v>
      </c>
      <c r="O152">
        <v>8.6224326359409367E-2</v>
      </c>
      <c r="P152">
        <v>0</v>
      </c>
      <c r="Q152">
        <v>0.23148812922147582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0.18823454667917622</v>
      </c>
      <c r="AE152">
        <v>0</v>
      </c>
      <c r="AF152">
        <v>0</v>
      </c>
      <c r="AG152" s="9">
        <v>0</v>
      </c>
    </row>
    <row r="153" spans="1:33" x14ac:dyDescent="0.3">
      <c r="A153" s="31">
        <v>8.0000000000000071E-3</v>
      </c>
      <c r="B153" s="66">
        <v>5.3233308734308621E-2</v>
      </c>
      <c r="C153" s="66">
        <v>3.1473751367641835E-2</v>
      </c>
      <c r="D153">
        <v>0</v>
      </c>
      <c r="E153">
        <v>0</v>
      </c>
      <c r="F153">
        <v>9.5462427051418428E-2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0.41263480140231401</v>
      </c>
      <c r="O153">
        <v>6.9327042208721712E-2</v>
      </c>
      <c r="P153">
        <v>0</v>
      </c>
      <c r="Q153">
        <v>0.23861183210185963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0.18396389923981113</v>
      </c>
      <c r="AE153">
        <v>0</v>
      </c>
      <c r="AF153">
        <v>0</v>
      </c>
      <c r="AG153" s="9">
        <v>0</v>
      </c>
    </row>
    <row r="154" spans="1:33" x14ac:dyDescent="0.3">
      <c r="A154" s="31">
        <v>1.0000000000000009E-2</v>
      </c>
      <c r="B154" s="66">
        <v>5.4166982208089479E-2</v>
      </c>
      <c r="C154" s="66">
        <v>3.1867151250982814E-2</v>
      </c>
      <c r="D154">
        <v>0</v>
      </c>
      <c r="E154">
        <v>0</v>
      </c>
      <c r="F154">
        <v>0.1004264588208145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0.42484546679552954</v>
      </c>
      <c r="O154">
        <v>4.8663225726304035E-2</v>
      </c>
      <c r="P154">
        <v>0</v>
      </c>
      <c r="Q154">
        <v>0.24732361843968975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0.17874123224746141</v>
      </c>
      <c r="AE154">
        <v>0</v>
      </c>
      <c r="AF154">
        <v>0</v>
      </c>
      <c r="AG154" s="9">
        <v>0</v>
      </c>
    </row>
    <row r="155" spans="1:33" x14ac:dyDescent="0.3">
      <c r="A155" s="31">
        <v>1.2000000000000011E-2</v>
      </c>
      <c r="B155" s="66">
        <v>5.5447249260766732E-2</v>
      </c>
      <c r="C155" s="66">
        <v>3.2359239582586803E-2</v>
      </c>
      <c r="D155">
        <v>0</v>
      </c>
      <c r="E155">
        <v>0</v>
      </c>
      <c r="F155">
        <v>0.10663573029780814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0.44011963396020193</v>
      </c>
      <c r="O155">
        <v>2.2815389300239873E-2</v>
      </c>
      <c r="P155">
        <v>0</v>
      </c>
      <c r="Q155">
        <v>0.25822054579698617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0.17220870273655642</v>
      </c>
      <c r="AE155">
        <v>0</v>
      </c>
      <c r="AF155">
        <v>0</v>
      </c>
      <c r="AG155" s="9">
        <v>0</v>
      </c>
    </row>
    <row r="156" spans="1:33" x14ac:dyDescent="0.3">
      <c r="A156" s="31">
        <v>1.4000000000000012E-2</v>
      </c>
      <c r="B156" s="66">
        <v>5.7070953159078633E-2</v>
      </c>
      <c r="C156" s="66">
        <v>3.2927084398389844E-2</v>
      </c>
      <c r="D156">
        <v>0</v>
      </c>
      <c r="E156">
        <v>0</v>
      </c>
      <c r="F156">
        <v>0.11495098080638583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0.45627851405161868</v>
      </c>
      <c r="O156">
        <v>0</v>
      </c>
      <c r="P156">
        <v>0</v>
      </c>
      <c r="Q156">
        <v>0.26802251980378927</v>
      </c>
      <c r="R156">
        <v>3.718851698743795E-3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0.15702913577926036</v>
      </c>
      <c r="AE156">
        <v>0</v>
      </c>
      <c r="AF156">
        <v>0</v>
      </c>
      <c r="AG156" s="9">
        <v>0</v>
      </c>
    </row>
    <row r="157" spans="1:33" x14ac:dyDescent="0.3">
      <c r="A157" s="31">
        <v>1.6000000000000014E-2</v>
      </c>
      <c r="B157" s="66">
        <v>5.8454321422199272E-2</v>
      </c>
      <c r="C157" s="66">
        <v>3.3360026694488044E-2</v>
      </c>
      <c r="D157">
        <v>0</v>
      </c>
      <c r="E157">
        <v>0</v>
      </c>
      <c r="F157">
        <v>0.12470437752626218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0.4700209476067333</v>
      </c>
      <c r="O157">
        <v>0</v>
      </c>
      <c r="P157">
        <v>0</v>
      </c>
      <c r="Q157">
        <v>0.273968609271177</v>
      </c>
      <c r="R157">
        <v>3.7317307926185185E-3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0.12757433808478183</v>
      </c>
      <c r="AE157">
        <v>0</v>
      </c>
      <c r="AF157">
        <v>0</v>
      </c>
      <c r="AG157" s="9">
        <v>0</v>
      </c>
    </row>
    <row r="158" spans="1:33" x14ac:dyDescent="0.3">
      <c r="A158" s="31">
        <v>1.8000000000000016E-2</v>
      </c>
      <c r="B158" s="66">
        <v>6.1109563929814446E-2</v>
      </c>
      <c r="C158" s="66">
        <v>3.4108360394545199E-2</v>
      </c>
      <c r="D158">
        <v>0</v>
      </c>
      <c r="E158">
        <v>0</v>
      </c>
      <c r="F158">
        <v>0.13778857721625531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0.48424959008098256</v>
      </c>
      <c r="O158">
        <v>0</v>
      </c>
      <c r="P158">
        <v>0</v>
      </c>
      <c r="Q158">
        <v>0.27667435213560193</v>
      </c>
      <c r="R158">
        <v>2.8147120322586098E-2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7.3140363822240331E-2</v>
      </c>
      <c r="AE158">
        <v>0</v>
      </c>
      <c r="AF158">
        <v>0</v>
      </c>
      <c r="AG158" s="9">
        <v>0</v>
      </c>
    </row>
    <row r="159" spans="1:33" x14ac:dyDescent="0.3">
      <c r="A159" s="31">
        <v>2.0000000000000018E-2</v>
      </c>
      <c r="B159" s="66">
        <v>6.5032307023993347E-2</v>
      </c>
      <c r="C159" s="66">
        <v>3.5074075088721728E-2</v>
      </c>
      <c r="D159">
        <v>0</v>
      </c>
      <c r="E159">
        <v>0</v>
      </c>
      <c r="F159">
        <v>0.15680916651235904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0.50709071653212767</v>
      </c>
      <c r="O159">
        <v>0</v>
      </c>
      <c r="P159">
        <v>0</v>
      </c>
      <c r="Q159">
        <v>0.28343944973594026</v>
      </c>
      <c r="R159">
        <v>4.7908252321849421E-2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4.7524149922570482E-3</v>
      </c>
      <c r="AE159">
        <v>0</v>
      </c>
      <c r="AF159">
        <v>0</v>
      </c>
      <c r="AG159" s="9">
        <v>0</v>
      </c>
    </row>
    <row r="160" spans="1:33" x14ac:dyDescent="0.3">
      <c r="A160" s="31">
        <v>2.200000000000002E-2</v>
      </c>
      <c r="B160" s="66">
        <v>6.5690855974735965E-2</v>
      </c>
      <c r="C160" s="66">
        <v>3.5220159821734771E-2</v>
      </c>
      <c r="D160">
        <v>0</v>
      </c>
      <c r="E160">
        <v>0</v>
      </c>
      <c r="F160">
        <v>0.16970940242146373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0.50594179170198339</v>
      </c>
      <c r="O160">
        <v>0</v>
      </c>
      <c r="P160">
        <v>0</v>
      </c>
      <c r="Q160">
        <v>0.27917622779766998</v>
      </c>
      <c r="R160">
        <v>4.5172578129682783E-2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 s="9">
        <v>0</v>
      </c>
    </row>
    <row r="161" spans="1:33" x14ac:dyDescent="0.3">
      <c r="A161" s="31">
        <v>2.4000000000000021E-2</v>
      </c>
      <c r="B161" s="66">
        <v>6.6309903658477221E-2</v>
      </c>
      <c r="C161" s="66">
        <v>3.5334550814502846E-2</v>
      </c>
      <c r="D161">
        <v>0</v>
      </c>
      <c r="E161">
        <v>0</v>
      </c>
      <c r="F161">
        <v>0.18648012566660344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0.50197852681776467</v>
      </c>
      <c r="O161">
        <v>0</v>
      </c>
      <c r="P161">
        <v>0</v>
      </c>
      <c r="Q161">
        <v>0.27232012667164923</v>
      </c>
      <c r="R161">
        <v>3.9221221702160705E-2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 s="9">
        <v>0</v>
      </c>
    </row>
    <row r="162" spans="1:33" x14ac:dyDescent="0.3">
      <c r="A162" s="31">
        <v>2.5999999999999995E-2</v>
      </c>
      <c r="B162" s="66">
        <v>6.7394794842985786E-2</v>
      </c>
      <c r="C162" s="66">
        <v>3.5502062960353908E-2</v>
      </c>
      <c r="D162">
        <v>0</v>
      </c>
      <c r="E162">
        <v>0</v>
      </c>
      <c r="F162">
        <v>0.21103885075480772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0.49617459194917091</v>
      </c>
      <c r="O162">
        <v>0</v>
      </c>
      <c r="P162">
        <v>0</v>
      </c>
      <c r="Q162">
        <v>0.26228050592464075</v>
      </c>
      <c r="R162">
        <v>3.0506053077879538E-2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 s="9">
        <v>0</v>
      </c>
    </row>
    <row r="163" spans="1:33" x14ac:dyDescent="0.3">
      <c r="A163" s="31">
        <v>2.7999999999999997E-2</v>
      </c>
      <c r="B163" s="66">
        <v>6.9555187819740627E-2</v>
      </c>
      <c r="C163" s="66">
        <v>3.577089095154426E-2</v>
      </c>
      <c r="D163">
        <v>0</v>
      </c>
      <c r="E163">
        <v>0</v>
      </c>
      <c r="F163">
        <v>0.25045134475218428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0.48686049688616295</v>
      </c>
      <c r="O163">
        <v>0</v>
      </c>
      <c r="P163">
        <v>0</v>
      </c>
      <c r="Q163">
        <v>0.24616866363738449</v>
      </c>
      <c r="R163">
        <v>1.6519495014853013E-2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 s="9">
        <v>0</v>
      </c>
    </row>
    <row r="164" spans="1:33" x14ac:dyDescent="0.3">
      <c r="A164" s="31">
        <v>0.03</v>
      </c>
      <c r="B164" s="66">
        <v>7.4598734767509389E-2</v>
      </c>
      <c r="C164" s="66">
        <v>3.6253258404961582E-2</v>
      </c>
      <c r="D164">
        <v>0</v>
      </c>
      <c r="E164">
        <v>0</v>
      </c>
      <c r="F164">
        <v>0.32222313016475962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0.46512925764291274</v>
      </c>
      <c r="O164">
        <v>0</v>
      </c>
      <c r="P164">
        <v>0</v>
      </c>
      <c r="Q164">
        <v>0.21264760722077841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 s="9">
        <v>0</v>
      </c>
    </row>
    <row r="165" spans="1:33" x14ac:dyDescent="0.3">
      <c r="A165" s="31">
        <v>3.2000000000000001E-2</v>
      </c>
      <c r="B165" s="66">
        <v>9.0909929898639191E-2</v>
      </c>
      <c r="C165" s="66">
        <v>3.7363902506070627E-2</v>
      </c>
      <c r="D165">
        <v>0</v>
      </c>
      <c r="E165">
        <v>0</v>
      </c>
      <c r="F165">
        <v>0.49214372987733385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0.39282816876035453</v>
      </c>
      <c r="O165">
        <v>0</v>
      </c>
      <c r="P165">
        <v>0</v>
      </c>
      <c r="Q165">
        <v>0.11502809548773152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 s="9">
        <v>0</v>
      </c>
    </row>
    <row r="166" spans="1:33" x14ac:dyDescent="0.3">
      <c r="A166" s="31">
        <v>3.4000000000000002E-2</v>
      </c>
      <c r="B166" s="66">
        <v>0.16069061140532118</v>
      </c>
      <c r="C166" s="66">
        <v>4.074310950490477E-2</v>
      </c>
      <c r="D166">
        <v>0</v>
      </c>
      <c r="E166">
        <v>0</v>
      </c>
      <c r="F166">
        <v>1.000000004379632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 s="9">
        <v>0</v>
      </c>
    </row>
    <row r="167" spans="1:33" x14ac:dyDescent="0.3">
      <c r="A167" s="31">
        <v>3.6000000000000004E-2</v>
      </c>
      <c r="B167" s="66">
        <v>0.16069061140532118</v>
      </c>
      <c r="C167" s="66">
        <v>4.074310950490477E-2</v>
      </c>
      <c r="D167">
        <v>0</v>
      </c>
      <c r="E167">
        <v>0</v>
      </c>
      <c r="F167">
        <v>1.000000004379632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 s="9">
        <v>0</v>
      </c>
    </row>
    <row r="168" spans="1:33" x14ac:dyDescent="0.3">
      <c r="A168" s="31">
        <v>3.8000000000000006E-2</v>
      </c>
      <c r="B168" s="66">
        <v>0.16069061140532118</v>
      </c>
      <c r="C168" s="66">
        <v>4.074310950490477E-2</v>
      </c>
      <c r="D168">
        <v>0</v>
      </c>
      <c r="E168">
        <v>0</v>
      </c>
      <c r="F168">
        <v>1.000000004379632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 s="9">
        <v>0</v>
      </c>
    </row>
    <row r="169" spans="1:33" x14ac:dyDescent="0.3">
      <c r="A169" s="31">
        <v>4.0000000000000008E-2</v>
      </c>
      <c r="B169" s="66">
        <v>0.16069061140532118</v>
      </c>
      <c r="C169" s="66">
        <v>4.074310950490477E-2</v>
      </c>
      <c r="D169">
        <v>0</v>
      </c>
      <c r="E169">
        <v>0</v>
      </c>
      <c r="F169">
        <v>1.000000004379632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 s="9">
        <v>0</v>
      </c>
    </row>
    <row r="170" spans="1:33" x14ac:dyDescent="0.3">
      <c r="A170" s="31">
        <v>4.200000000000001E-2</v>
      </c>
      <c r="B170" s="66">
        <v>0.16069061140532118</v>
      </c>
      <c r="C170" s="66">
        <v>4.074310950490477E-2</v>
      </c>
      <c r="D170">
        <v>0</v>
      </c>
      <c r="E170">
        <v>0</v>
      </c>
      <c r="F170">
        <v>1.000000004379632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 s="9">
        <v>0</v>
      </c>
    </row>
    <row r="171" spans="1:33" x14ac:dyDescent="0.3">
      <c r="A171" s="31">
        <v>4.4000000000000011E-2</v>
      </c>
      <c r="B171" s="66">
        <v>0.16069061140532118</v>
      </c>
      <c r="C171" s="66">
        <v>4.074310950490477E-2</v>
      </c>
      <c r="D171">
        <v>0</v>
      </c>
      <c r="E171">
        <v>0</v>
      </c>
      <c r="F171">
        <v>1.000000004379632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 s="9">
        <v>0</v>
      </c>
    </row>
    <row r="172" spans="1:33" x14ac:dyDescent="0.3">
      <c r="A172" s="31">
        <v>4.6000000000000013E-2</v>
      </c>
      <c r="B172" s="66">
        <v>0.16069061140532118</v>
      </c>
      <c r="C172" s="66">
        <v>4.074310950490477E-2</v>
      </c>
      <c r="D172">
        <v>0</v>
      </c>
      <c r="E172">
        <v>0</v>
      </c>
      <c r="F172">
        <v>1.000000004379632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 s="9">
        <v>0</v>
      </c>
    </row>
    <row r="173" spans="1:33" x14ac:dyDescent="0.3">
      <c r="A173" s="31">
        <v>4.8000000000000015E-2</v>
      </c>
      <c r="B173" s="66">
        <v>0.16069061140532118</v>
      </c>
      <c r="C173" s="66">
        <v>4.074310950490477E-2</v>
      </c>
      <c r="D173">
        <v>0</v>
      </c>
      <c r="E173">
        <v>0</v>
      </c>
      <c r="F173">
        <v>1.000000004379632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 s="9">
        <v>0</v>
      </c>
    </row>
    <row r="174" spans="1:33" ht="14.5" thickBot="1" x14ac:dyDescent="0.35">
      <c r="A174" s="43">
        <v>5.0000000000000017E-2</v>
      </c>
      <c r="B174" s="69">
        <v>0.16069061140532118</v>
      </c>
      <c r="C174" s="69">
        <v>4.074310950490477E-2</v>
      </c>
      <c r="D174" s="10">
        <v>0</v>
      </c>
      <c r="E174" s="10">
        <v>0</v>
      </c>
      <c r="F174" s="10">
        <v>1.000000004379632</v>
      </c>
      <c r="G174" s="10">
        <v>0</v>
      </c>
      <c r="H174" s="10">
        <v>0</v>
      </c>
      <c r="I174" s="10">
        <v>0</v>
      </c>
      <c r="J174" s="10">
        <v>0</v>
      </c>
      <c r="K174" s="10">
        <v>0</v>
      </c>
      <c r="L174" s="10">
        <v>0</v>
      </c>
      <c r="M174" s="10">
        <v>0</v>
      </c>
      <c r="N174" s="10">
        <v>0</v>
      </c>
      <c r="O174" s="10">
        <v>0</v>
      </c>
      <c r="P174" s="10">
        <v>0</v>
      </c>
      <c r="Q174" s="10">
        <v>0</v>
      </c>
      <c r="R174" s="10">
        <v>0</v>
      </c>
      <c r="S174" s="10">
        <v>0</v>
      </c>
      <c r="T174" s="10">
        <v>0</v>
      </c>
      <c r="U174" s="10">
        <v>0</v>
      </c>
      <c r="V174" s="10">
        <v>0</v>
      </c>
      <c r="W174" s="10">
        <v>0</v>
      </c>
      <c r="X174" s="10">
        <v>0</v>
      </c>
      <c r="Y174" s="10">
        <v>0</v>
      </c>
      <c r="Z174" s="10">
        <v>0</v>
      </c>
      <c r="AA174" s="10">
        <v>0</v>
      </c>
      <c r="AB174" s="10">
        <v>0</v>
      </c>
      <c r="AC174" s="10">
        <v>0</v>
      </c>
      <c r="AD174" s="10">
        <v>0</v>
      </c>
      <c r="AE174" s="10">
        <v>0</v>
      </c>
      <c r="AF174" s="10">
        <v>0</v>
      </c>
      <c r="AG174" s="11">
        <v>0</v>
      </c>
    </row>
    <row r="175" spans="1:33" ht="14.5" thickBot="1" x14ac:dyDescent="0.35">
      <c r="A175" s="71" t="s">
        <v>160</v>
      </c>
      <c r="B175" s="72">
        <v>3.5259032765535839E-2</v>
      </c>
      <c r="C175" s="72">
        <v>1.0016520520072245E-2</v>
      </c>
    </row>
    <row r="176" spans="1:33" x14ac:dyDescent="0.3">
      <c r="A176" s="32"/>
      <c r="B176" s="65">
        <v>3.5654877638764522E-2</v>
      </c>
      <c r="C176" s="65">
        <v>1.3010320917839983E-2</v>
      </c>
    </row>
    <row r="177" spans="1:3" x14ac:dyDescent="0.3">
      <c r="A177" s="32"/>
      <c r="B177" s="66">
        <v>3.5553577044688991E-2</v>
      </c>
      <c r="C177" s="66">
        <v>1.2668072222923875E-2</v>
      </c>
    </row>
    <row r="178" spans="1:3" x14ac:dyDescent="0.3">
      <c r="A178" s="32"/>
      <c r="B178" s="66">
        <v>3.555918862266217E-2</v>
      </c>
      <c r="C178" s="66">
        <v>1.2693248175831503E-2</v>
      </c>
    </row>
    <row r="179" spans="1:3" x14ac:dyDescent="0.3">
      <c r="A179" s="32"/>
      <c r="B179" s="66">
        <v>3.555918862266217E-2</v>
      </c>
      <c r="C179" s="66">
        <v>1.2693248175831503E-2</v>
      </c>
    </row>
    <row r="180" spans="1:3" x14ac:dyDescent="0.3">
      <c r="A180" s="32"/>
      <c r="B180" s="66">
        <v>3.555918862266217E-2</v>
      </c>
      <c r="C180" s="66">
        <v>1.2693248175831503E-2</v>
      </c>
    </row>
    <row r="181" spans="1:3" x14ac:dyDescent="0.3">
      <c r="A181" s="32"/>
      <c r="B181" s="66">
        <v>3.555918862266217E-2</v>
      </c>
      <c r="C181" s="66">
        <v>1.2693248175831503E-2</v>
      </c>
    </row>
    <row r="182" spans="1:3" x14ac:dyDescent="0.3">
      <c r="A182" s="32"/>
      <c r="B182" s="67">
        <v>3.555918862266217E-2</v>
      </c>
      <c r="C182" s="67">
        <v>1.2693248175831503E-2</v>
      </c>
    </row>
    <row r="183" spans="1:3" x14ac:dyDescent="0.3">
      <c r="A183" s="32"/>
      <c r="B183" s="67">
        <v>3.5608839777068343E-2</v>
      </c>
      <c r="C183" s="67">
        <v>1.2906410596542904E-2</v>
      </c>
    </row>
    <row r="184" spans="1:3" x14ac:dyDescent="0.3">
      <c r="A184" s="32"/>
      <c r="B184" s="67">
        <v>3.5608839777068343E-2</v>
      </c>
      <c r="C184" s="67">
        <v>1.2906410596542904E-2</v>
      </c>
    </row>
    <row r="185" spans="1:3" x14ac:dyDescent="0.3">
      <c r="A185" s="32"/>
      <c r="B185" s="67">
        <v>3.5608839777068343E-2</v>
      </c>
      <c r="C185" s="67">
        <v>1.2906410596542904E-2</v>
      </c>
    </row>
    <row r="186" spans="1:3" x14ac:dyDescent="0.3">
      <c r="A186" s="32"/>
      <c r="B186" s="67">
        <v>3.5608839777068343E-2</v>
      </c>
      <c r="C186" s="67">
        <v>1.2906410596542904E-2</v>
      </c>
    </row>
    <row r="187" spans="1:3" x14ac:dyDescent="0.3">
      <c r="A187" s="32"/>
      <c r="B187" s="67">
        <v>3.5608839777068343E-2</v>
      </c>
      <c r="C187" s="67">
        <v>1.2906410596542904E-2</v>
      </c>
    </row>
    <row r="188" spans="1:3" x14ac:dyDescent="0.3">
      <c r="A188" s="32"/>
      <c r="B188" s="67">
        <v>3.5664944954026313E-2</v>
      </c>
      <c r="C188" s="67">
        <v>1.3129734158328722E-2</v>
      </c>
    </row>
    <row r="189" spans="1:3" x14ac:dyDescent="0.3">
      <c r="A189" s="32"/>
      <c r="B189" s="67">
        <v>3.5664944954026313E-2</v>
      </c>
      <c r="C189" s="67">
        <v>1.3129734158328722E-2</v>
      </c>
    </row>
    <row r="190" spans="1:3" x14ac:dyDescent="0.3">
      <c r="A190" s="32"/>
      <c r="B190" s="67">
        <v>3.5664944954026313E-2</v>
      </c>
      <c r="C190" s="67">
        <v>1.3129734158328722E-2</v>
      </c>
    </row>
    <row r="191" spans="1:3" x14ac:dyDescent="0.3">
      <c r="A191" s="32"/>
      <c r="B191" s="67">
        <v>3.5664944954026313E-2</v>
      </c>
      <c r="C191" s="67">
        <v>1.3129734158328722E-2</v>
      </c>
    </row>
    <row r="192" spans="1:3" x14ac:dyDescent="0.3">
      <c r="A192" s="32"/>
      <c r="B192" s="67">
        <v>3.5716483783655294E-2</v>
      </c>
      <c r="C192" s="67">
        <v>1.332197631492887E-2</v>
      </c>
    </row>
    <row r="193" spans="1:3" x14ac:dyDescent="0.3">
      <c r="A193" s="32"/>
      <c r="B193" s="67">
        <v>3.5716483783655294E-2</v>
      </c>
      <c r="C193" s="67">
        <v>1.332197631492887E-2</v>
      </c>
    </row>
    <row r="194" spans="1:3" x14ac:dyDescent="0.3">
      <c r="A194" s="32"/>
      <c r="B194" s="67">
        <v>3.5716483783655294E-2</v>
      </c>
      <c r="C194" s="67">
        <v>1.332197631492887E-2</v>
      </c>
    </row>
    <row r="195" spans="1:3" x14ac:dyDescent="0.3">
      <c r="A195" s="32"/>
      <c r="B195" s="67">
        <v>3.5716483783655294E-2</v>
      </c>
      <c r="C195" s="67">
        <v>1.332197631492887E-2</v>
      </c>
    </row>
    <row r="196" spans="1:3" x14ac:dyDescent="0.3">
      <c r="A196" s="32"/>
      <c r="B196" s="67">
        <v>3.5789072000556588E-2</v>
      </c>
      <c r="C196" s="67">
        <v>1.3577847801441452E-2</v>
      </c>
    </row>
    <row r="197" spans="1:3" x14ac:dyDescent="0.3">
      <c r="A197" s="32"/>
      <c r="B197" s="67">
        <v>3.5789072000556588E-2</v>
      </c>
      <c r="C197" s="67">
        <v>1.3577847801441452E-2</v>
      </c>
    </row>
    <row r="198" spans="1:3" x14ac:dyDescent="0.3">
      <c r="A198" s="34"/>
      <c r="B198" s="67">
        <v>3.5789072000556588E-2</v>
      </c>
      <c r="C198" s="67">
        <v>1.3577847801441452E-2</v>
      </c>
    </row>
    <row r="199" spans="1:3" x14ac:dyDescent="0.3">
      <c r="A199" s="32"/>
      <c r="B199" s="67">
        <v>3.5842403944040348E-2</v>
      </c>
      <c r="C199" s="67">
        <v>1.375443767226023E-2</v>
      </c>
    </row>
    <row r="200" spans="1:3" x14ac:dyDescent="0.3">
      <c r="A200" s="34"/>
      <c r="B200" s="67">
        <v>3.5842403944040348E-2</v>
      </c>
      <c r="C200" s="67">
        <v>1.375443767226023E-2</v>
      </c>
    </row>
    <row r="201" spans="1:3" x14ac:dyDescent="0.3">
      <c r="A201" s="32"/>
      <c r="B201" s="67">
        <v>3.5842403944040348E-2</v>
      </c>
      <c r="C201" s="67">
        <v>1.375443767226023E-2</v>
      </c>
    </row>
    <row r="202" spans="1:3" x14ac:dyDescent="0.3">
      <c r="A202" s="34"/>
      <c r="B202" s="67">
        <v>3.5919781189531222E-2</v>
      </c>
      <c r="C202" s="67">
        <v>1.3998835314379374E-2</v>
      </c>
    </row>
    <row r="203" spans="1:3" x14ac:dyDescent="0.3">
      <c r="A203" s="32"/>
      <c r="B203" s="67">
        <v>3.5919781189531222E-2</v>
      </c>
      <c r="C203" s="67">
        <v>1.3998835314379374E-2</v>
      </c>
    </row>
    <row r="204" spans="1:3" x14ac:dyDescent="0.3">
      <c r="A204" s="34"/>
      <c r="B204" s="67">
        <v>3.5919781189531222E-2</v>
      </c>
      <c r="C204" s="67">
        <v>1.3998835314379374E-2</v>
      </c>
    </row>
    <row r="205" spans="1:3" x14ac:dyDescent="0.3">
      <c r="A205" s="32"/>
      <c r="B205" s="67">
        <v>3.6003487245090962E-2</v>
      </c>
      <c r="C205" s="67">
        <v>1.4248001575182979E-2</v>
      </c>
    </row>
    <row r="206" spans="1:3" x14ac:dyDescent="0.3">
      <c r="A206" s="34"/>
      <c r="B206" s="67">
        <v>3.6003487245090962E-2</v>
      </c>
      <c r="C206" s="67">
        <v>1.4248001575182979E-2</v>
      </c>
    </row>
    <row r="207" spans="1:3" x14ac:dyDescent="0.3">
      <c r="A207" s="32"/>
      <c r="B207" s="67">
        <v>3.6054543846644756E-2</v>
      </c>
      <c r="C207" s="67">
        <v>1.4392981740456241E-2</v>
      </c>
    </row>
    <row r="208" spans="1:3" x14ac:dyDescent="0.3">
      <c r="A208" s="34"/>
      <c r="B208" s="67">
        <v>3.6054543846644756E-2</v>
      </c>
      <c r="C208" s="67">
        <v>1.4392981740456241E-2</v>
      </c>
    </row>
    <row r="209" spans="1:3" x14ac:dyDescent="0.3">
      <c r="A209" s="32"/>
      <c r="B209" s="67">
        <v>3.6117008027973962E-2</v>
      </c>
      <c r="C209" s="67">
        <v>1.4563579709151604E-2</v>
      </c>
    </row>
    <row r="210" spans="1:3" x14ac:dyDescent="0.3">
      <c r="A210" s="34"/>
      <c r="B210" s="67">
        <v>3.6117008027973962E-2</v>
      </c>
      <c r="C210" s="67">
        <v>1.4563579709151604E-2</v>
      </c>
    </row>
    <row r="211" spans="1:3" x14ac:dyDescent="0.3">
      <c r="A211" s="32"/>
      <c r="B211" s="67">
        <v>3.6194020961830657E-2</v>
      </c>
      <c r="C211" s="67">
        <v>1.4766007227053842E-2</v>
      </c>
    </row>
    <row r="212" spans="1:3" x14ac:dyDescent="0.3">
      <c r="A212" s="34"/>
      <c r="B212" s="67">
        <v>3.6194020961830657E-2</v>
      </c>
      <c r="C212" s="67">
        <v>1.4766007227053842E-2</v>
      </c>
    </row>
    <row r="213" spans="1:3" x14ac:dyDescent="0.3">
      <c r="A213" s="32"/>
      <c r="B213" s="67">
        <v>3.6270962605546152E-2</v>
      </c>
      <c r="C213" s="67">
        <v>1.4958941575360405E-2</v>
      </c>
    </row>
    <row r="214" spans="1:3" x14ac:dyDescent="0.3">
      <c r="A214" s="32"/>
      <c r="B214" s="67">
        <v>3.6270962605546152E-2</v>
      </c>
      <c r="C214" s="67">
        <v>1.4958941575360405E-2</v>
      </c>
    </row>
    <row r="215" spans="1:3" x14ac:dyDescent="0.3">
      <c r="A215" s="34"/>
      <c r="B215" s="67">
        <v>3.6386156506113765E-2</v>
      </c>
      <c r="C215" s="67">
        <v>1.524114091857399E-2</v>
      </c>
    </row>
    <row r="216" spans="1:3" x14ac:dyDescent="0.3">
      <c r="A216" s="32"/>
      <c r="B216" s="66">
        <v>3.6386156506113765E-2</v>
      </c>
      <c r="C216" s="66">
        <v>1.524114091857399E-2</v>
      </c>
    </row>
    <row r="217" spans="1:3" x14ac:dyDescent="0.3">
      <c r="A217" s="34"/>
      <c r="B217" s="66">
        <v>3.6489309714133236E-2</v>
      </c>
      <c r="C217" s="66">
        <v>1.5477016692037928E-2</v>
      </c>
    </row>
    <row r="218" spans="1:3" x14ac:dyDescent="0.3">
      <c r="A218" s="32"/>
      <c r="B218" s="66">
        <v>3.6489309714133236E-2</v>
      </c>
      <c r="C218" s="66">
        <v>1.5477016692037928E-2</v>
      </c>
    </row>
    <row r="219" spans="1:3" x14ac:dyDescent="0.3">
      <c r="A219" s="34"/>
      <c r="B219" s="66">
        <v>3.6624042926230997E-2</v>
      </c>
      <c r="C219" s="66">
        <v>1.577253215173767E-2</v>
      </c>
    </row>
    <row r="220" spans="1:3" x14ac:dyDescent="0.3">
      <c r="A220" s="32"/>
      <c r="B220" s="66">
        <v>3.6693239415981099E-2</v>
      </c>
      <c r="C220" s="66">
        <v>1.5917562449822412E-2</v>
      </c>
    </row>
    <row r="221" spans="1:3" x14ac:dyDescent="0.3">
      <c r="A221" s="34"/>
      <c r="B221" s="66">
        <v>3.6769796312733263E-2</v>
      </c>
      <c r="C221" s="66">
        <v>1.6073896708605696E-2</v>
      </c>
    </row>
    <row r="222" spans="1:3" x14ac:dyDescent="0.3">
      <c r="A222" s="32"/>
      <c r="B222" s="66">
        <v>3.6855006639186901E-2</v>
      </c>
      <c r="C222" s="66">
        <v>1.6243291671238537E-2</v>
      </c>
    </row>
    <row r="223" spans="1:3" x14ac:dyDescent="0.3">
      <c r="A223" s="34"/>
      <c r="B223" s="66">
        <v>3.6950388682939969E-2</v>
      </c>
      <c r="C223" s="66">
        <v>1.6427984552942552E-2</v>
      </c>
    </row>
    <row r="224" spans="1:3" x14ac:dyDescent="0.3">
      <c r="A224" s="32"/>
      <c r="B224" s="66">
        <v>3.7050080795065748E-2</v>
      </c>
      <c r="C224" s="66">
        <v>1.6615298777289574E-2</v>
      </c>
    </row>
    <row r="225" spans="1:3" x14ac:dyDescent="0.3">
      <c r="A225" s="28"/>
      <c r="B225" s="66">
        <v>3.7160936744264864E-2</v>
      </c>
      <c r="C225" s="66">
        <v>1.6817643977983465E-2</v>
      </c>
    </row>
    <row r="226" spans="1:3" x14ac:dyDescent="0.3">
      <c r="A226" s="28"/>
      <c r="B226" s="66">
        <v>3.7283105261932015E-2</v>
      </c>
      <c r="C226" s="66">
        <v>1.703406723720358E-2</v>
      </c>
    </row>
    <row r="227" spans="1:3" x14ac:dyDescent="0.3">
      <c r="A227" s="28"/>
      <c r="B227" s="66">
        <v>3.7418443573175517E-2</v>
      </c>
      <c r="C227" s="66">
        <v>1.7266551655247597E-2</v>
      </c>
    </row>
    <row r="228" spans="1:3" x14ac:dyDescent="0.3">
      <c r="A228" s="28"/>
      <c r="B228" s="66">
        <v>3.7568487843165729E-2</v>
      </c>
      <c r="C228" s="66">
        <v>1.7516252865518521E-2</v>
      </c>
    </row>
    <row r="229" spans="1:3" x14ac:dyDescent="0.3">
      <c r="A229" s="28"/>
      <c r="B229" s="66">
        <v>3.7735372697748321E-2</v>
      </c>
      <c r="C229" s="66">
        <v>1.7785065909444665E-2</v>
      </c>
    </row>
    <row r="230" spans="1:3" x14ac:dyDescent="0.3">
      <c r="A230" s="28"/>
      <c r="B230" s="66">
        <v>3.7925970483455987E-2</v>
      </c>
      <c r="C230" s="66">
        <v>1.8081980003544128E-2</v>
      </c>
    </row>
    <row r="231" spans="1:3" x14ac:dyDescent="0.3">
      <c r="A231" s="32"/>
      <c r="B231" s="66">
        <v>3.8128608475406701E-2</v>
      </c>
      <c r="C231" s="66">
        <v>1.8386787146809816E-2</v>
      </c>
    </row>
    <row r="232" spans="1:3" x14ac:dyDescent="0.3">
      <c r="A232" s="32"/>
      <c r="B232" s="66">
        <v>3.8364360769173253E-2</v>
      </c>
      <c r="C232" s="66">
        <v>1.8729142468904236E-2</v>
      </c>
    </row>
    <row r="233" spans="1:3" x14ac:dyDescent="0.3">
      <c r="A233" s="32"/>
      <c r="B233" s="66">
        <v>3.8629261810915291E-2</v>
      </c>
      <c r="C233" s="66">
        <v>1.9099962507162664E-2</v>
      </c>
    </row>
    <row r="234" spans="1:3" x14ac:dyDescent="0.3">
      <c r="A234" s="32"/>
      <c r="B234" s="66">
        <v>3.8930684555753929E-2</v>
      </c>
      <c r="C234" s="66">
        <v>1.9506509856527049E-2</v>
      </c>
    </row>
    <row r="235" spans="1:3" x14ac:dyDescent="0.3">
      <c r="A235" s="32"/>
      <c r="B235" s="66">
        <v>3.9270992523672311E-2</v>
      </c>
      <c r="C235" s="66">
        <v>1.9947821495769E-2</v>
      </c>
    </row>
    <row r="236" spans="1:3" x14ac:dyDescent="0.3">
      <c r="A236" s="32"/>
      <c r="B236" s="66">
        <v>3.9668414437335445E-2</v>
      </c>
      <c r="C236" s="66">
        <v>2.0443133974140708E-2</v>
      </c>
    </row>
    <row r="237" spans="1:3" x14ac:dyDescent="0.3">
      <c r="A237" s="32"/>
      <c r="B237" s="66">
        <v>4.0117287987212175E-2</v>
      </c>
      <c r="C237" s="66">
        <v>2.097983359729743E-2</v>
      </c>
    </row>
    <row r="238" spans="1:3" x14ac:dyDescent="0.3">
      <c r="A238" s="32"/>
      <c r="B238" s="66">
        <v>4.0654444687291853E-2</v>
      </c>
      <c r="C238" s="66">
        <v>2.1595596123756382E-2</v>
      </c>
    </row>
    <row r="239" spans="1:3" x14ac:dyDescent="0.3">
      <c r="A239" s="32"/>
      <c r="B239" s="66">
        <v>4.128126164539183E-2</v>
      </c>
      <c r="C239" s="66">
        <v>2.2282910856320823E-2</v>
      </c>
    </row>
    <row r="240" spans="1:3" x14ac:dyDescent="0.3">
      <c r="A240" s="32"/>
      <c r="B240" s="66">
        <v>4.2013526335945135E-2</v>
      </c>
      <c r="C240" s="66">
        <v>2.3050200093624251E-2</v>
      </c>
    </row>
    <row r="241" spans="1:3" x14ac:dyDescent="0.3">
      <c r="A241" s="32"/>
      <c r="B241" s="66">
        <v>4.290231365135757E-2</v>
      </c>
      <c r="C241" s="66">
        <v>2.3939654424300079E-2</v>
      </c>
    </row>
    <row r="242" spans="1:3" x14ac:dyDescent="0.3">
      <c r="A242" s="32"/>
      <c r="B242" s="66">
        <v>4.3950911554823918E-2</v>
      </c>
      <c r="C242" s="66">
        <v>2.4939699116115883E-2</v>
      </c>
    </row>
    <row r="243" spans="1:3" x14ac:dyDescent="0.3">
      <c r="A243" s="32"/>
      <c r="B243" s="66">
        <v>4.4737672765989243E-2</v>
      </c>
      <c r="C243" s="66">
        <v>2.5657871836915359E-2</v>
      </c>
    </row>
    <row r="244" spans="1:3" x14ac:dyDescent="0.3">
      <c r="A244" s="32"/>
      <c r="B244" s="66">
        <v>4.5461251162145479E-2</v>
      </c>
      <c r="C244" s="66">
        <v>2.6284918699991316E-2</v>
      </c>
    </row>
    <row r="245" spans="1:3" x14ac:dyDescent="0.3">
      <c r="A245" s="32"/>
      <c r="B245" s="66">
        <v>4.6297255809492836E-2</v>
      </c>
      <c r="C245" s="66">
        <v>2.6970102555683963E-2</v>
      </c>
    </row>
    <row r="246" spans="1:3" x14ac:dyDescent="0.3">
      <c r="A246" s="32"/>
      <c r="B246" s="66">
        <v>4.7320853326737994E-2</v>
      </c>
      <c r="C246" s="66">
        <v>2.7764780624981996E-2</v>
      </c>
    </row>
    <row r="247" spans="1:3" x14ac:dyDescent="0.3">
      <c r="A247" s="32"/>
      <c r="B247" s="66">
        <v>4.8591630000914897E-2</v>
      </c>
      <c r="C247" s="66">
        <v>2.8697625971879585E-2</v>
      </c>
    </row>
    <row r="248" spans="1:3" x14ac:dyDescent="0.3">
      <c r="A248" s="32"/>
      <c r="B248" s="67">
        <v>4.9588441351101818E-2</v>
      </c>
      <c r="C248" s="66">
        <v>2.9388339009983125E-2</v>
      </c>
    </row>
    <row r="249" spans="1:3" x14ac:dyDescent="0.3">
      <c r="A249" s="32"/>
      <c r="B249" s="66">
        <v>5.0943445780731615E-2</v>
      </c>
      <c r="C249" s="66">
        <v>3.0284354704592689E-2</v>
      </c>
    </row>
    <row r="250" spans="1:3" x14ac:dyDescent="0.3">
      <c r="A250" s="32"/>
      <c r="B250" s="66">
        <v>5.1224628545397062E-2</v>
      </c>
      <c r="C250" s="66">
        <v>3.0457012744117579E-2</v>
      </c>
    </row>
    <row r="251" spans="1:3" x14ac:dyDescent="0.3">
      <c r="A251" s="32"/>
      <c r="B251" s="66">
        <v>5.1562878308333331E-2</v>
      </c>
      <c r="C251" s="66">
        <v>3.0651300765092985E-2</v>
      </c>
    </row>
    <row r="252" spans="1:3" x14ac:dyDescent="0.3">
      <c r="A252" s="32"/>
      <c r="B252" s="66">
        <v>5.1993373238166163E-2</v>
      </c>
      <c r="C252" s="66">
        <v>3.0884105161689095E-2</v>
      </c>
    </row>
    <row r="253" spans="1:3" x14ac:dyDescent="0.3">
      <c r="A253" s="32"/>
      <c r="B253" s="66">
        <v>5.2532413433624546E-2</v>
      </c>
      <c r="C253" s="66">
        <v>3.1152059673179092E-2</v>
      </c>
    </row>
    <row r="254" spans="1:3" x14ac:dyDescent="0.3">
      <c r="A254" s="32"/>
      <c r="B254" s="66">
        <v>5.3233308734308621E-2</v>
      </c>
      <c r="C254" s="66">
        <v>3.1473751367641835E-2</v>
      </c>
    </row>
    <row r="255" spans="1:3" x14ac:dyDescent="0.3">
      <c r="A255" s="32"/>
      <c r="B255" s="66">
        <v>5.4166982208089479E-2</v>
      </c>
      <c r="C255" s="66">
        <v>3.1867151250982814E-2</v>
      </c>
    </row>
    <row r="256" spans="1:3" x14ac:dyDescent="0.3">
      <c r="A256" s="32"/>
      <c r="B256" s="66">
        <v>5.5447249260766732E-2</v>
      </c>
      <c r="C256" s="66">
        <v>3.2359239582586803E-2</v>
      </c>
    </row>
    <row r="257" spans="1:3" x14ac:dyDescent="0.3">
      <c r="A257" s="32"/>
      <c r="B257" s="66">
        <v>5.7070953159078633E-2</v>
      </c>
      <c r="C257" s="66">
        <v>3.2927084398389844E-2</v>
      </c>
    </row>
    <row r="258" spans="1:3" x14ac:dyDescent="0.3">
      <c r="A258" s="32"/>
      <c r="B258" s="66">
        <v>5.8454321422199272E-2</v>
      </c>
      <c r="C258" s="66">
        <v>3.3360026694488044E-2</v>
      </c>
    </row>
    <row r="259" spans="1:3" x14ac:dyDescent="0.3">
      <c r="A259" s="32"/>
      <c r="B259" s="66">
        <v>6.1109563929814446E-2</v>
      </c>
      <c r="C259" s="66">
        <v>3.4108360394545199E-2</v>
      </c>
    </row>
    <row r="260" spans="1:3" x14ac:dyDescent="0.3">
      <c r="A260" s="32"/>
      <c r="B260" s="66">
        <v>6.5032307023993347E-2</v>
      </c>
      <c r="C260" s="66">
        <v>3.5074075088721728E-2</v>
      </c>
    </row>
    <row r="261" spans="1:3" x14ac:dyDescent="0.3">
      <c r="A261" s="32"/>
      <c r="B261" s="66">
        <v>6.5690855974735965E-2</v>
      </c>
      <c r="C261" s="66">
        <v>3.5220159821734771E-2</v>
      </c>
    </row>
    <row r="262" spans="1:3" x14ac:dyDescent="0.3">
      <c r="A262" s="32"/>
      <c r="B262" s="66">
        <v>6.6309903658477221E-2</v>
      </c>
      <c r="C262" s="66">
        <v>3.5334550814502846E-2</v>
      </c>
    </row>
    <row r="263" spans="1:3" x14ac:dyDescent="0.3">
      <c r="A263" s="32"/>
      <c r="B263" s="66">
        <v>6.7394794842985786E-2</v>
      </c>
      <c r="C263" s="66">
        <v>3.5502062960353908E-2</v>
      </c>
    </row>
    <row r="264" spans="1:3" x14ac:dyDescent="0.3">
      <c r="A264" s="32"/>
      <c r="B264" s="66">
        <v>6.9555187819740627E-2</v>
      </c>
      <c r="C264" s="66">
        <v>3.577089095154426E-2</v>
      </c>
    </row>
    <row r="265" spans="1:3" x14ac:dyDescent="0.3">
      <c r="A265" s="34"/>
      <c r="B265" s="66">
        <v>7.4598734767509389E-2</v>
      </c>
      <c r="C265" s="66">
        <v>3.6253258404961582E-2</v>
      </c>
    </row>
    <row r="266" spans="1:3" x14ac:dyDescent="0.3">
      <c r="A266" s="32"/>
      <c r="B266" s="66">
        <v>9.0909929898639191E-2</v>
      </c>
      <c r="C266" s="66">
        <v>3.7363902506070627E-2</v>
      </c>
    </row>
    <row r="267" spans="1:3" x14ac:dyDescent="0.3">
      <c r="A267" s="34"/>
      <c r="B267" s="66">
        <v>0.16069061140532118</v>
      </c>
      <c r="C267" s="66">
        <v>4.074310950490477E-2</v>
      </c>
    </row>
    <row r="268" spans="1:3" x14ac:dyDescent="0.3">
      <c r="A268" s="32"/>
      <c r="B268" s="66">
        <v>0.16069061140532118</v>
      </c>
      <c r="C268" s="66">
        <v>4.074310950490477E-2</v>
      </c>
    </row>
    <row r="269" spans="1:3" x14ac:dyDescent="0.3">
      <c r="A269" s="34"/>
      <c r="B269" s="66">
        <v>0.16069061140532118</v>
      </c>
      <c r="C269" s="66">
        <v>4.074310950490477E-2</v>
      </c>
    </row>
    <row r="270" spans="1:3" x14ac:dyDescent="0.3">
      <c r="A270" s="32"/>
      <c r="B270" s="66">
        <v>0.16069061140532118</v>
      </c>
      <c r="C270" s="66">
        <v>4.074310950490477E-2</v>
      </c>
    </row>
    <row r="271" spans="1:3" x14ac:dyDescent="0.3">
      <c r="B271" s="66">
        <v>0.16069061140532118</v>
      </c>
      <c r="C271" s="66">
        <v>4.074310950490477E-2</v>
      </c>
    </row>
    <row r="272" spans="1:3" x14ac:dyDescent="0.3">
      <c r="B272" s="66">
        <v>0.16069061140532118</v>
      </c>
      <c r="C272" s="66">
        <v>4.074310950490477E-2</v>
      </c>
    </row>
    <row r="273" spans="1:4" x14ac:dyDescent="0.3">
      <c r="B273" s="66">
        <v>0.16069061140532118</v>
      </c>
      <c r="C273" s="66">
        <v>4.074310950490477E-2</v>
      </c>
    </row>
    <row r="274" spans="1:4" x14ac:dyDescent="0.3">
      <c r="B274" s="66">
        <v>0.16069061140532118</v>
      </c>
      <c r="C274" s="66">
        <v>4.074310950490477E-2</v>
      </c>
    </row>
    <row r="275" spans="1:4" ht="14.5" thickBot="1" x14ac:dyDescent="0.35">
      <c r="B275" s="69">
        <v>0.16069061140532118</v>
      </c>
      <c r="C275" s="69">
        <v>4.074310950490477E-2</v>
      </c>
    </row>
    <row r="277" spans="1:4" x14ac:dyDescent="0.3">
      <c r="A277" s="71" t="s">
        <v>124</v>
      </c>
      <c r="B277" s="72">
        <v>3.5259032765535839E-2</v>
      </c>
      <c r="C277" s="72">
        <v>1.0016520520072245E-2</v>
      </c>
      <c r="D277" s="8"/>
    </row>
  </sheetData>
  <mergeCells count="2">
    <mergeCell ref="B1:M1"/>
    <mergeCell ref="D73:AG73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298E8-1C68-4C8D-8837-F609EDD56C27}">
  <sheetPr codeName="Trang_tính6"/>
  <dimension ref="A1:S149"/>
  <sheetViews>
    <sheetView zoomScale="63" zoomScaleNormal="63" workbookViewId="0">
      <selection activeCell="S10" sqref="S10"/>
    </sheetView>
  </sheetViews>
  <sheetFormatPr defaultRowHeight="14" x14ac:dyDescent="0.3"/>
  <cols>
    <col min="2" max="2" width="9.5" bestFit="1" customWidth="1"/>
    <col min="3" max="3" width="11.33203125" bestFit="1" customWidth="1"/>
  </cols>
  <sheetData>
    <row r="1" spans="1:19" ht="18" x14ac:dyDescent="0.4">
      <c r="A1" s="148" t="s">
        <v>137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</row>
    <row r="2" spans="1:19" x14ac:dyDescent="0.3">
      <c r="A2" t="s">
        <v>71</v>
      </c>
      <c r="B2" t="s">
        <v>67</v>
      </c>
      <c r="C2" t="s">
        <v>67</v>
      </c>
      <c r="D2" t="s">
        <v>110</v>
      </c>
    </row>
    <row r="3" spans="1:19" x14ac:dyDescent="0.3">
      <c r="A3" s="24"/>
      <c r="B3" s="52" t="s">
        <v>136</v>
      </c>
      <c r="C3" s="53" t="s">
        <v>135</v>
      </c>
    </row>
    <row r="4" spans="1:19" x14ac:dyDescent="0.3">
      <c r="A4" s="8">
        <v>0.13783074867645556</v>
      </c>
      <c r="B4" s="8">
        <v>0.16469674048095856</v>
      </c>
    </row>
    <row r="5" spans="1:19" x14ac:dyDescent="0.3">
      <c r="A5" s="8">
        <v>0.13468098782878291</v>
      </c>
      <c r="B5" s="8">
        <v>0.16100143393708857</v>
      </c>
    </row>
    <row r="6" spans="1:19" x14ac:dyDescent="0.3">
      <c r="A6" s="8">
        <v>0.13153397790052729</v>
      </c>
      <c r="B6" s="8">
        <v>0.15730612739321859</v>
      </c>
    </row>
    <row r="7" spans="1:19" x14ac:dyDescent="0.3">
      <c r="A7" s="8">
        <v>0.12838992117807047</v>
      </c>
      <c r="B7" s="8">
        <v>0.15361082084934863</v>
      </c>
    </row>
    <row r="8" spans="1:19" x14ac:dyDescent="0.3">
      <c r="A8" s="8">
        <v>0.1252490400596388</v>
      </c>
      <c r="B8" s="8">
        <v>0.14991551430547867</v>
      </c>
    </row>
    <row r="9" spans="1:19" x14ac:dyDescent="0.3">
      <c r="A9" s="8">
        <v>0.12211157958844844</v>
      </c>
      <c r="B9" s="8">
        <v>0.14622020776160866</v>
      </c>
    </row>
    <row r="10" spans="1:19" x14ac:dyDescent="0.3">
      <c r="A10" s="8">
        <v>0.11897781037355686</v>
      </c>
      <c r="B10" s="8">
        <v>0.14252490121773867</v>
      </c>
      <c r="S10" s="95" t="s">
        <v>161</v>
      </c>
    </row>
    <row r="11" spans="1:19" x14ac:dyDescent="0.3">
      <c r="A11" s="8">
        <v>0.1158480319684424</v>
      </c>
      <c r="B11" s="8">
        <v>0.13882959467386868</v>
      </c>
    </row>
    <row r="12" spans="1:19" x14ac:dyDescent="0.3">
      <c r="A12" s="8">
        <v>0.11272257679192561</v>
      </c>
      <c r="B12" s="8">
        <v>0.1351342881299987</v>
      </c>
    </row>
    <row r="13" spans="1:19" x14ac:dyDescent="0.3">
      <c r="A13" s="8">
        <v>0.10960181469408707</v>
      </c>
      <c r="B13" s="8">
        <v>0.13143898158612874</v>
      </c>
    </row>
    <row r="14" spans="1:19" x14ac:dyDescent="0.3">
      <c r="A14" s="8">
        <v>0.10648615829222852</v>
      </c>
      <c r="B14" s="8">
        <v>0.12774367504225881</v>
      </c>
    </row>
    <row r="15" spans="1:19" x14ac:dyDescent="0.3">
      <c r="A15" s="8">
        <v>0.10337606922984256</v>
      </c>
      <c r="B15" s="8">
        <v>0.12404836849838882</v>
      </c>
    </row>
    <row r="16" spans="1:19" x14ac:dyDescent="0.3">
      <c r="A16" s="8">
        <v>0.1002720655465119</v>
      </c>
      <c r="B16" s="8">
        <v>0.12035306195451886</v>
      </c>
    </row>
    <row r="17" spans="1:2" x14ac:dyDescent="0.3">
      <c r="A17" s="8">
        <v>9.7174730390620898E-2</v>
      </c>
      <c r="B17" s="8">
        <v>0.11665775541064891</v>
      </c>
    </row>
    <row r="18" spans="1:2" x14ac:dyDescent="0.3">
      <c r="A18" s="8">
        <v>9.4084722362298881E-2</v>
      </c>
      <c r="B18" s="8">
        <v>0.11296244886677893</v>
      </c>
    </row>
    <row r="19" spans="1:2" x14ac:dyDescent="0.3">
      <c r="A19" s="8">
        <v>9.1002787844477462E-2</v>
      </c>
      <c r="B19" s="8">
        <v>0.10926714232290896</v>
      </c>
    </row>
    <row r="20" spans="1:2" x14ac:dyDescent="0.3">
      <c r="A20" s="8">
        <v>8.7929775769748239E-2</v>
      </c>
      <c r="B20" s="8">
        <v>0.10557183577903899</v>
      </c>
    </row>
    <row r="21" spans="1:2" x14ac:dyDescent="0.3">
      <c r="A21" s="8">
        <v>8.4866655385637438E-2</v>
      </c>
      <c r="B21" s="8">
        <v>0.10187652923516903</v>
      </c>
    </row>
    <row r="22" spans="1:2" x14ac:dyDescent="0.3">
      <c r="A22" s="8">
        <v>8.1814537728609082E-2</v>
      </c>
      <c r="B22" s="8">
        <v>9.8181222691299044E-2</v>
      </c>
    </row>
    <row r="23" spans="1:2" x14ac:dyDescent="0.3">
      <c r="A23" s="8">
        <v>7.8774701707607683E-2</v>
      </c>
      <c r="B23" s="8">
        <v>9.4485916147429086E-2</v>
      </c>
    </row>
    <row r="24" spans="1:2" x14ac:dyDescent="0.3">
      <c r="A24" s="8">
        <v>7.5748625944463535E-2</v>
      </c>
      <c r="B24" s="8">
        <v>9.0790609603559114E-2</v>
      </c>
    </row>
    <row r="25" spans="1:2" x14ac:dyDescent="0.3">
      <c r="A25" s="8">
        <v>7.2738027838270755E-2</v>
      </c>
      <c r="B25" s="8">
        <v>8.7095303059689141E-2</v>
      </c>
    </row>
    <row r="26" spans="1:2" x14ac:dyDescent="0.3">
      <c r="A26" s="8">
        <v>6.9744911736290577E-2</v>
      </c>
      <c r="B26" s="8">
        <v>8.3399996515819169E-2</v>
      </c>
    </row>
    <row r="27" spans="1:2" x14ac:dyDescent="0.3">
      <c r="A27" s="8">
        <v>6.6771628633574526E-2</v>
      </c>
      <c r="B27" s="8">
        <v>7.9704689971949197E-2</v>
      </c>
    </row>
    <row r="28" spans="1:2" x14ac:dyDescent="0.3">
      <c r="A28" s="8">
        <v>6.3820950522787814E-2</v>
      </c>
      <c r="B28" s="8">
        <v>7.6009383428079225E-2</v>
      </c>
    </row>
    <row r="29" spans="1:2" x14ac:dyDescent="0.3">
      <c r="A29" s="8">
        <v>6.0896163416584659E-2</v>
      </c>
      <c r="B29" s="8">
        <v>7.2314076884209252E-2</v>
      </c>
    </row>
    <row r="30" spans="1:2" x14ac:dyDescent="0.3">
      <c r="A30" s="8">
        <v>5.8001184212580971E-2</v>
      </c>
      <c r="B30" s="8">
        <v>6.861877034033928E-2</v>
      </c>
    </row>
    <row r="31" spans="1:2" x14ac:dyDescent="0.3">
      <c r="A31" s="8">
        <v>5.5140708004515454E-2</v>
      </c>
      <c r="B31" s="8">
        <v>6.4923463796469322E-2</v>
      </c>
    </row>
    <row r="32" spans="1:2" x14ac:dyDescent="0.3">
      <c r="A32" s="8">
        <v>5.2320394172749037E-2</v>
      </c>
      <c r="B32" s="8">
        <v>6.1228157252599343E-2</v>
      </c>
    </row>
    <row r="33" spans="1:4" x14ac:dyDescent="0.3">
      <c r="A33" s="8">
        <v>4.954710154509083E-2</v>
      </c>
      <c r="B33" s="8">
        <v>5.753285070872937E-2</v>
      </c>
    </row>
    <row r="34" spans="1:4" x14ac:dyDescent="0.3">
      <c r="A34" s="8">
        <v>4.6829184859683036E-2</v>
      </c>
      <c r="B34" s="8">
        <v>5.3837544164859391E-2</v>
      </c>
    </row>
    <row r="35" spans="1:4" x14ac:dyDescent="0.3">
      <c r="A35" s="8">
        <v>4.4176866069248324E-2</v>
      </c>
      <c r="B35" s="8">
        <v>5.0142237620989433E-2</v>
      </c>
    </row>
    <row r="36" spans="1:4" x14ac:dyDescent="0.3">
      <c r="A36" s="8">
        <v>4.1602693359365055E-2</v>
      </c>
      <c r="B36" s="8">
        <v>4.644693107711946E-2</v>
      </c>
    </row>
    <row r="37" spans="1:4" x14ac:dyDescent="0.3">
      <c r="A37" s="8">
        <v>3.9122095442109463E-2</v>
      </c>
      <c r="B37" s="8">
        <v>4.2751624533249474E-2</v>
      </c>
    </row>
    <row r="38" spans="1:4" x14ac:dyDescent="0.3">
      <c r="A38" s="8">
        <v>3.6754023817601331E-2</v>
      </c>
      <c r="B38" s="8">
        <v>3.9056317989379516E-2</v>
      </c>
    </row>
    <row r="39" spans="1:4" x14ac:dyDescent="0.3">
      <c r="A39" s="8">
        <v>3.4521643062913478E-2</v>
      </c>
      <c r="B39" s="8">
        <v>3.5361011445509544E-2</v>
      </c>
    </row>
    <row r="40" spans="1:4" x14ac:dyDescent="0.3">
      <c r="A40" s="8">
        <v>3.2452967055674686E-2</v>
      </c>
      <c r="B40" s="8">
        <v>3.1665704901639571E-2</v>
      </c>
    </row>
    <row r="41" spans="1:4" x14ac:dyDescent="0.3">
      <c r="A41" s="8">
        <v>3.058123541725111E-2</v>
      </c>
      <c r="B41" s="8">
        <v>2.7970398357769599E-2</v>
      </c>
    </row>
    <row r="42" spans="1:4" x14ac:dyDescent="0.3">
      <c r="A42" s="8">
        <v>2.8944680107907038E-2</v>
      </c>
      <c r="B42" s="8">
        <v>2.4275091813899613E-2</v>
      </c>
    </row>
    <row r="43" spans="1:4" x14ac:dyDescent="0.3">
      <c r="A43" s="8">
        <v>2.7585190074166918E-2</v>
      </c>
      <c r="B43" s="8">
        <v>2.0579785270029682E-2</v>
      </c>
    </row>
    <row r="44" spans="1:4" x14ac:dyDescent="0.3">
      <c r="A44" s="8">
        <v>2.6545368226526523E-2</v>
      </c>
      <c r="B44" s="8">
        <v>1.6884478726159696E-2</v>
      </c>
    </row>
    <row r="45" spans="1:4" x14ac:dyDescent="0.3">
      <c r="A45" s="8">
        <v>2.5863798930377119E-2</v>
      </c>
      <c r="B45" s="8">
        <v>1.318917218228971E-2</v>
      </c>
    </row>
    <row r="46" spans="1:4" x14ac:dyDescent="0.3">
      <c r="A46" s="8">
        <v>2.5569146914106472E-2</v>
      </c>
      <c r="B46" s="8">
        <v>9.4938656384197517E-3</v>
      </c>
    </row>
    <row r="47" spans="1:4" x14ac:dyDescent="0.3">
      <c r="A47" s="70">
        <v>2.5557859610678555E-2</v>
      </c>
      <c r="B47" s="72">
        <v>8.6184502815444004E-3</v>
      </c>
      <c r="D47" t="s">
        <v>125</v>
      </c>
    </row>
    <row r="48" spans="1:4" x14ac:dyDescent="0.3">
      <c r="A48" s="8"/>
      <c r="B48" s="8"/>
    </row>
    <row r="49" spans="1:4" ht="14.5" thickBot="1" x14ac:dyDescent="0.35">
      <c r="A49" s="72">
        <v>3.5259032765535839E-2</v>
      </c>
      <c r="B49" s="77"/>
      <c r="C49" s="72">
        <v>1.0016520520072245E-2</v>
      </c>
      <c r="D49" t="s">
        <v>125</v>
      </c>
    </row>
    <row r="50" spans="1:4" x14ac:dyDescent="0.3">
      <c r="A50" s="65">
        <v>3.5654877638764522E-2</v>
      </c>
      <c r="B50" s="77"/>
      <c r="C50" s="65">
        <v>1.3010320917839983E-2</v>
      </c>
    </row>
    <row r="51" spans="1:4" x14ac:dyDescent="0.3">
      <c r="A51" s="66">
        <v>3.5553577044688991E-2</v>
      </c>
      <c r="B51" s="77"/>
      <c r="C51" s="66">
        <v>1.2668072222923875E-2</v>
      </c>
    </row>
    <row r="52" spans="1:4" x14ac:dyDescent="0.3">
      <c r="A52" s="66">
        <v>3.555918862266217E-2</v>
      </c>
      <c r="B52" s="77"/>
      <c r="C52" s="66">
        <v>1.2693248175831503E-2</v>
      </c>
    </row>
    <row r="53" spans="1:4" x14ac:dyDescent="0.3">
      <c r="A53" s="66">
        <v>3.555918862266217E-2</v>
      </c>
      <c r="B53" s="77"/>
      <c r="C53" s="66">
        <v>1.2693248175831503E-2</v>
      </c>
    </row>
    <row r="54" spans="1:4" x14ac:dyDescent="0.3">
      <c r="A54" s="66">
        <v>3.555918862266217E-2</v>
      </c>
      <c r="B54" s="77"/>
      <c r="C54" s="66">
        <v>1.2693248175831503E-2</v>
      </c>
    </row>
    <row r="55" spans="1:4" x14ac:dyDescent="0.3">
      <c r="A55" s="66">
        <v>3.555918862266217E-2</v>
      </c>
      <c r="B55" s="77"/>
      <c r="C55" s="66">
        <v>1.2693248175831503E-2</v>
      </c>
    </row>
    <row r="56" spans="1:4" x14ac:dyDescent="0.3">
      <c r="A56" s="67">
        <v>3.555918862266217E-2</v>
      </c>
      <c r="B56" s="88"/>
      <c r="C56" s="67">
        <v>1.2693248175831503E-2</v>
      </c>
    </row>
    <row r="57" spans="1:4" x14ac:dyDescent="0.3">
      <c r="A57" s="67">
        <v>3.5608839777068343E-2</v>
      </c>
      <c r="B57" s="88"/>
      <c r="C57" s="67">
        <v>1.2906410596542904E-2</v>
      </c>
    </row>
    <row r="58" spans="1:4" x14ac:dyDescent="0.3">
      <c r="A58" s="67">
        <v>3.5608839777068343E-2</v>
      </c>
      <c r="B58" s="88"/>
      <c r="C58" s="67">
        <v>1.2906410596542904E-2</v>
      </c>
    </row>
    <row r="59" spans="1:4" x14ac:dyDescent="0.3">
      <c r="A59" s="67">
        <v>3.5608839777068343E-2</v>
      </c>
      <c r="B59" s="88"/>
      <c r="C59" s="67">
        <v>1.2906410596542904E-2</v>
      </c>
    </row>
    <row r="60" spans="1:4" x14ac:dyDescent="0.3">
      <c r="A60" s="67">
        <v>3.5608839777068343E-2</v>
      </c>
      <c r="B60" s="88"/>
      <c r="C60" s="67">
        <v>1.2906410596542904E-2</v>
      </c>
    </row>
    <row r="61" spans="1:4" x14ac:dyDescent="0.3">
      <c r="A61" s="67">
        <v>3.5608839777068343E-2</v>
      </c>
      <c r="B61" s="88"/>
      <c r="C61" s="67">
        <v>1.2906410596542904E-2</v>
      </c>
    </row>
    <row r="62" spans="1:4" x14ac:dyDescent="0.3">
      <c r="A62" s="67">
        <v>3.5664944954026313E-2</v>
      </c>
      <c r="B62" s="88"/>
      <c r="C62" s="67">
        <v>1.3129734158328722E-2</v>
      </c>
    </row>
    <row r="63" spans="1:4" x14ac:dyDescent="0.3">
      <c r="A63" s="67">
        <v>3.5664944954026313E-2</v>
      </c>
      <c r="B63" s="88"/>
      <c r="C63" s="67">
        <v>1.3129734158328722E-2</v>
      </c>
    </row>
    <row r="64" spans="1:4" x14ac:dyDescent="0.3">
      <c r="A64" s="67">
        <v>3.5664944954026313E-2</v>
      </c>
      <c r="B64" s="88"/>
      <c r="C64" s="67">
        <v>1.3129734158328722E-2</v>
      </c>
    </row>
    <row r="65" spans="1:3" x14ac:dyDescent="0.3">
      <c r="A65" s="67">
        <v>3.5664944954026313E-2</v>
      </c>
      <c r="B65" s="88"/>
      <c r="C65" s="67">
        <v>1.3129734158328722E-2</v>
      </c>
    </row>
    <row r="66" spans="1:3" x14ac:dyDescent="0.3">
      <c r="A66" s="67">
        <v>3.5716483783655294E-2</v>
      </c>
      <c r="B66" s="88"/>
      <c r="C66" s="67">
        <v>1.332197631492887E-2</v>
      </c>
    </row>
    <row r="67" spans="1:3" x14ac:dyDescent="0.3">
      <c r="A67" s="67">
        <v>3.5716483783655294E-2</v>
      </c>
      <c r="B67" s="88"/>
      <c r="C67" s="67">
        <v>1.332197631492887E-2</v>
      </c>
    </row>
    <row r="68" spans="1:3" x14ac:dyDescent="0.3">
      <c r="A68" s="67">
        <v>3.5716483783655294E-2</v>
      </c>
      <c r="B68" s="88"/>
      <c r="C68" s="67">
        <v>1.332197631492887E-2</v>
      </c>
    </row>
    <row r="69" spans="1:3" x14ac:dyDescent="0.3">
      <c r="A69" s="67">
        <v>3.5716483783655294E-2</v>
      </c>
      <c r="B69" s="88"/>
      <c r="C69" s="67">
        <v>1.332197631492887E-2</v>
      </c>
    </row>
    <row r="70" spans="1:3" x14ac:dyDescent="0.3">
      <c r="A70" s="67">
        <v>3.5789072000556588E-2</v>
      </c>
      <c r="B70" s="88"/>
      <c r="C70" s="67">
        <v>1.3577847801441452E-2</v>
      </c>
    </row>
    <row r="71" spans="1:3" x14ac:dyDescent="0.3">
      <c r="A71" s="67">
        <v>3.5789072000556588E-2</v>
      </c>
      <c r="B71" s="88"/>
      <c r="C71" s="67">
        <v>1.3577847801441452E-2</v>
      </c>
    </row>
    <row r="72" spans="1:3" x14ac:dyDescent="0.3">
      <c r="A72" s="67">
        <v>3.5789072000556588E-2</v>
      </c>
      <c r="B72" s="88"/>
      <c r="C72" s="67">
        <v>1.3577847801441452E-2</v>
      </c>
    </row>
    <row r="73" spans="1:3" x14ac:dyDescent="0.3">
      <c r="A73" s="67">
        <v>3.5842403944040348E-2</v>
      </c>
      <c r="B73" s="88"/>
      <c r="C73" s="67">
        <v>1.375443767226023E-2</v>
      </c>
    </row>
    <row r="74" spans="1:3" x14ac:dyDescent="0.3">
      <c r="A74" s="67">
        <v>3.5842403944040348E-2</v>
      </c>
      <c r="B74" s="88"/>
      <c r="C74" s="67">
        <v>1.375443767226023E-2</v>
      </c>
    </row>
    <row r="75" spans="1:3" x14ac:dyDescent="0.3">
      <c r="A75" s="67">
        <v>3.5842403944040348E-2</v>
      </c>
      <c r="B75" s="88"/>
      <c r="C75" s="67">
        <v>1.375443767226023E-2</v>
      </c>
    </row>
    <row r="76" spans="1:3" x14ac:dyDescent="0.3">
      <c r="A76" s="67">
        <v>3.5919781189531222E-2</v>
      </c>
      <c r="B76" s="88"/>
      <c r="C76" s="67">
        <v>1.3998835314379374E-2</v>
      </c>
    </row>
    <row r="77" spans="1:3" x14ac:dyDescent="0.3">
      <c r="A77" s="67">
        <v>3.5919781189531222E-2</v>
      </c>
      <c r="B77" s="88"/>
      <c r="C77" s="67">
        <v>1.3998835314379374E-2</v>
      </c>
    </row>
    <row r="78" spans="1:3" x14ac:dyDescent="0.3">
      <c r="A78" s="67">
        <v>3.5919781189531222E-2</v>
      </c>
      <c r="B78" s="88"/>
      <c r="C78" s="67">
        <v>1.3998835314379374E-2</v>
      </c>
    </row>
    <row r="79" spans="1:3" x14ac:dyDescent="0.3">
      <c r="A79" s="67">
        <v>3.6003487245090962E-2</v>
      </c>
      <c r="B79" s="88"/>
      <c r="C79" s="67">
        <v>1.4248001575182979E-2</v>
      </c>
    </row>
    <row r="80" spans="1:3" x14ac:dyDescent="0.3">
      <c r="A80" s="67">
        <v>3.6003487245090962E-2</v>
      </c>
      <c r="B80" s="88"/>
      <c r="C80" s="67">
        <v>1.4248001575182979E-2</v>
      </c>
    </row>
    <row r="81" spans="1:3" x14ac:dyDescent="0.3">
      <c r="A81" s="67">
        <v>3.6054543846644756E-2</v>
      </c>
      <c r="B81" s="88"/>
      <c r="C81" s="67">
        <v>1.4392981740456241E-2</v>
      </c>
    </row>
    <row r="82" spans="1:3" x14ac:dyDescent="0.3">
      <c r="A82" s="67">
        <v>3.6054543846644756E-2</v>
      </c>
      <c r="B82" s="88"/>
      <c r="C82" s="67">
        <v>1.4392981740456241E-2</v>
      </c>
    </row>
    <row r="83" spans="1:3" x14ac:dyDescent="0.3">
      <c r="A83" s="67">
        <v>3.6117008027973962E-2</v>
      </c>
      <c r="B83" s="88"/>
      <c r="C83" s="67">
        <v>1.4563579709151604E-2</v>
      </c>
    </row>
    <row r="84" spans="1:3" x14ac:dyDescent="0.3">
      <c r="A84" s="67">
        <v>3.6117008027973962E-2</v>
      </c>
      <c r="B84" s="88"/>
      <c r="C84" s="67">
        <v>1.4563579709151604E-2</v>
      </c>
    </row>
    <row r="85" spans="1:3" x14ac:dyDescent="0.3">
      <c r="A85" s="67">
        <v>3.6194020961830657E-2</v>
      </c>
      <c r="B85" s="88"/>
      <c r="C85" s="67">
        <v>1.4766007227053842E-2</v>
      </c>
    </row>
    <row r="86" spans="1:3" x14ac:dyDescent="0.3">
      <c r="A86" s="67">
        <v>3.6194020961830657E-2</v>
      </c>
      <c r="B86" s="88"/>
      <c r="C86" s="67">
        <v>1.4766007227053842E-2</v>
      </c>
    </row>
    <row r="87" spans="1:3" x14ac:dyDescent="0.3">
      <c r="A87" s="67">
        <v>3.6270962605546152E-2</v>
      </c>
      <c r="B87" s="88"/>
      <c r="C87" s="67">
        <v>1.4958941575360405E-2</v>
      </c>
    </row>
    <row r="88" spans="1:3" x14ac:dyDescent="0.3">
      <c r="A88" s="67">
        <v>3.6270962605546152E-2</v>
      </c>
      <c r="B88" s="88"/>
      <c r="C88" s="67">
        <v>1.4958941575360405E-2</v>
      </c>
    </row>
    <row r="89" spans="1:3" x14ac:dyDescent="0.3">
      <c r="A89" s="67">
        <v>3.6386156506113765E-2</v>
      </c>
      <c r="B89" s="88"/>
      <c r="C89" s="67">
        <v>1.524114091857399E-2</v>
      </c>
    </row>
    <row r="90" spans="1:3" x14ac:dyDescent="0.3">
      <c r="A90" s="66">
        <v>3.6386156506113765E-2</v>
      </c>
      <c r="B90" s="77"/>
      <c r="C90" s="66">
        <v>1.524114091857399E-2</v>
      </c>
    </row>
    <row r="91" spans="1:3" x14ac:dyDescent="0.3">
      <c r="A91" s="66">
        <v>3.6489309714133236E-2</v>
      </c>
      <c r="B91" s="77"/>
      <c r="C91" s="66">
        <v>1.5477016692037928E-2</v>
      </c>
    </row>
    <row r="92" spans="1:3" x14ac:dyDescent="0.3">
      <c r="A92" s="66">
        <v>3.6489309714133236E-2</v>
      </c>
      <c r="B92" s="77"/>
      <c r="C92" s="66">
        <v>1.5477016692037928E-2</v>
      </c>
    </row>
    <row r="93" spans="1:3" x14ac:dyDescent="0.3">
      <c r="A93" s="66">
        <v>3.6624042926230997E-2</v>
      </c>
      <c r="B93" s="77"/>
      <c r="C93" s="66">
        <v>1.577253215173767E-2</v>
      </c>
    </row>
    <row r="94" spans="1:3" x14ac:dyDescent="0.3">
      <c r="A94" s="66">
        <v>3.6693239415981099E-2</v>
      </c>
      <c r="B94" s="77"/>
      <c r="C94" s="66">
        <v>1.5917562449822412E-2</v>
      </c>
    </row>
    <row r="95" spans="1:3" x14ac:dyDescent="0.3">
      <c r="A95" s="66">
        <v>3.6769796312733263E-2</v>
      </c>
      <c r="B95" s="77"/>
      <c r="C95" s="66">
        <v>1.6073896708605696E-2</v>
      </c>
    </row>
    <row r="96" spans="1:3" x14ac:dyDescent="0.3">
      <c r="A96" s="66">
        <v>3.6855006639186901E-2</v>
      </c>
      <c r="B96" s="77"/>
      <c r="C96" s="66">
        <v>1.6243291671238537E-2</v>
      </c>
    </row>
    <row r="97" spans="1:3" x14ac:dyDescent="0.3">
      <c r="A97" s="66">
        <v>3.6950388682939969E-2</v>
      </c>
      <c r="B97" s="77"/>
      <c r="C97" s="66">
        <v>1.6427984552942552E-2</v>
      </c>
    </row>
    <row r="98" spans="1:3" x14ac:dyDescent="0.3">
      <c r="A98" s="66">
        <v>3.7050080795065748E-2</v>
      </c>
      <c r="B98" s="77"/>
      <c r="C98" s="66">
        <v>1.6615298777289574E-2</v>
      </c>
    </row>
    <row r="99" spans="1:3" x14ac:dyDescent="0.3">
      <c r="A99" s="66">
        <v>3.7160936744264864E-2</v>
      </c>
      <c r="B99" s="77"/>
      <c r="C99" s="66">
        <v>1.6817643977983465E-2</v>
      </c>
    </row>
    <row r="100" spans="1:3" x14ac:dyDescent="0.3">
      <c r="A100" s="66">
        <v>3.7283105261932015E-2</v>
      </c>
      <c r="B100" s="77"/>
      <c r="C100" s="66">
        <v>1.703406723720358E-2</v>
      </c>
    </row>
    <row r="101" spans="1:3" x14ac:dyDescent="0.3">
      <c r="A101" s="66">
        <v>3.7418443573175517E-2</v>
      </c>
      <c r="B101" s="77"/>
      <c r="C101" s="66">
        <v>1.7266551655247597E-2</v>
      </c>
    </row>
    <row r="102" spans="1:3" x14ac:dyDescent="0.3">
      <c r="A102" s="66">
        <v>3.7568487843165729E-2</v>
      </c>
      <c r="B102" s="77"/>
      <c r="C102" s="66">
        <v>1.7516252865518521E-2</v>
      </c>
    </row>
    <row r="103" spans="1:3" x14ac:dyDescent="0.3">
      <c r="A103" s="66">
        <v>3.7735372697748321E-2</v>
      </c>
      <c r="B103" s="77"/>
      <c r="C103" s="66">
        <v>1.7785065909444665E-2</v>
      </c>
    </row>
    <row r="104" spans="1:3" x14ac:dyDescent="0.3">
      <c r="A104" s="66">
        <v>3.7925970483455987E-2</v>
      </c>
      <c r="B104" s="77"/>
      <c r="C104" s="66">
        <v>1.8081980003544128E-2</v>
      </c>
    </row>
    <row r="105" spans="1:3" x14ac:dyDescent="0.3">
      <c r="A105" s="66">
        <v>3.8128608475406701E-2</v>
      </c>
      <c r="B105" s="77"/>
      <c r="C105" s="66">
        <v>1.8386787146809816E-2</v>
      </c>
    </row>
    <row r="106" spans="1:3" x14ac:dyDescent="0.3">
      <c r="A106" s="66">
        <v>3.8364360769173253E-2</v>
      </c>
      <c r="B106" s="77"/>
      <c r="C106" s="66">
        <v>1.8729142468904236E-2</v>
      </c>
    </row>
    <row r="107" spans="1:3" x14ac:dyDescent="0.3">
      <c r="A107" s="66">
        <v>3.8629261810915291E-2</v>
      </c>
      <c r="B107" s="77"/>
      <c r="C107" s="66">
        <v>1.9099962507162664E-2</v>
      </c>
    </row>
    <row r="108" spans="1:3" x14ac:dyDescent="0.3">
      <c r="A108" s="66">
        <v>3.8930684555753929E-2</v>
      </c>
      <c r="B108" s="77"/>
      <c r="C108" s="66">
        <v>1.9506509856527049E-2</v>
      </c>
    </row>
    <row r="109" spans="1:3" x14ac:dyDescent="0.3">
      <c r="A109" s="66">
        <v>3.9270992523672311E-2</v>
      </c>
      <c r="B109" s="77"/>
      <c r="C109" s="66">
        <v>1.9947821495769E-2</v>
      </c>
    </row>
    <row r="110" spans="1:3" x14ac:dyDescent="0.3">
      <c r="A110" s="66">
        <v>3.9668414437335445E-2</v>
      </c>
      <c r="B110" s="77"/>
      <c r="C110" s="66">
        <v>2.0443133974140708E-2</v>
      </c>
    </row>
    <row r="111" spans="1:3" x14ac:dyDescent="0.3">
      <c r="A111" s="66">
        <v>4.0117287987212175E-2</v>
      </c>
      <c r="B111" s="77"/>
      <c r="C111" s="66">
        <v>2.097983359729743E-2</v>
      </c>
    </row>
    <row r="112" spans="1:3" x14ac:dyDescent="0.3">
      <c r="A112" s="66">
        <v>4.0654444687291853E-2</v>
      </c>
      <c r="B112" s="77"/>
      <c r="C112" s="66">
        <v>2.1595596123756382E-2</v>
      </c>
    </row>
    <row r="113" spans="1:3" x14ac:dyDescent="0.3">
      <c r="A113" s="66">
        <v>4.128126164539183E-2</v>
      </c>
      <c r="B113" s="77"/>
      <c r="C113" s="66">
        <v>2.2282910856320823E-2</v>
      </c>
    </row>
    <row r="114" spans="1:3" x14ac:dyDescent="0.3">
      <c r="A114" s="66">
        <v>4.2013526335945135E-2</v>
      </c>
      <c r="B114" s="77"/>
      <c r="C114" s="66">
        <v>2.3050200093624251E-2</v>
      </c>
    </row>
    <row r="115" spans="1:3" x14ac:dyDescent="0.3">
      <c r="A115" s="66">
        <v>4.290231365135757E-2</v>
      </c>
      <c r="B115" s="77"/>
      <c r="C115" s="66">
        <v>2.3939654424300079E-2</v>
      </c>
    </row>
    <row r="116" spans="1:3" x14ac:dyDescent="0.3">
      <c r="A116" s="66">
        <v>4.3950911554823918E-2</v>
      </c>
      <c r="B116" s="77"/>
      <c r="C116" s="66">
        <v>2.4939699116115883E-2</v>
      </c>
    </row>
    <row r="117" spans="1:3" x14ac:dyDescent="0.3">
      <c r="A117" s="66">
        <v>4.4737672765989243E-2</v>
      </c>
      <c r="B117" s="77"/>
      <c r="C117" s="66">
        <v>2.5657871836915359E-2</v>
      </c>
    </row>
    <row r="118" spans="1:3" x14ac:dyDescent="0.3">
      <c r="A118" s="66">
        <v>4.5461251162145479E-2</v>
      </c>
      <c r="B118" s="77"/>
      <c r="C118" s="66">
        <v>2.6284918699991316E-2</v>
      </c>
    </row>
    <row r="119" spans="1:3" x14ac:dyDescent="0.3">
      <c r="A119" s="66">
        <v>4.6297255809492836E-2</v>
      </c>
      <c r="B119" s="77"/>
      <c r="C119" s="66">
        <v>2.6970102555683963E-2</v>
      </c>
    </row>
    <row r="120" spans="1:3" x14ac:dyDescent="0.3">
      <c r="A120" s="66">
        <v>4.7320853326737994E-2</v>
      </c>
      <c r="B120" s="77"/>
      <c r="C120" s="66">
        <v>2.7764780624981996E-2</v>
      </c>
    </row>
    <row r="121" spans="1:3" x14ac:dyDescent="0.3">
      <c r="A121" s="66">
        <v>4.8591630000914897E-2</v>
      </c>
      <c r="B121" s="77"/>
      <c r="C121" s="66">
        <v>2.8697625971879585E-2</v>
      </c>
    </row>
    <row r="122" spans="1:3" x14ac:dyDescent="0.3">
      <c r="A122" s="67">
        <v>4.9588441351101818E-2</v>
      </c>
      <c r="B122" s="77"/>
      <c r="C122" s="66">
        <v>2.9388339009983125E-2</v>
      </c>
    </row>
    <row r="123" spans="1:3" x14ac:dyDescent="0.3">
      <c r="A123" s="66">
        <v>5.0943445780731615E-2</v>
      </c>
      <c r="B123" s="77"/>
      <c r="C123" s="66">
        <v>3.0284354704592689E-2</v>
      </c>
    </row>
    <row r="124" spans="1:3" x14ac:dyDescent="0.3">
      <c r="A124" s="66">
        <v>5.1224628545397062E-2</v>
      </c>
      <c r="B124" s="77"/>
      <c r="C124" s="66">
        <v>3.0457012744117579E-2</v>
      </c>
    </row>
    <row r="125" spans="1:3" x14ac:dyDescent="0.3">
      <c r="A125" s="66">
        <v>5.1562878308333331E-2</v>
      </c>
      <c r="B125" s="77"/>
      <c r="C125" s="66">
        <v>3.0651300765092985E-2</v>
      </c>
    </row>
    <row r="126" spans="1:3" x14ac:dyDescent="0.3">
      <c r="A126" s="66">
        <v>5.1993373238166163E-2</v>
      </c>
      <c r="B126" s="77"/>
      <c r="C126" s="66">
        <v>3.0884105161689095E-2</v>
      </c>
    </row>
    <row r="127" spans="1:3" x14ac:dyDescent="0.3">
      <c r="A127" s="66">
        <v>5.2532413433624546E-2</v>
      </c>
      <c r="B127" s="77"/>
      <c r="C127" s="66">
        <v>3.1152059673179092E-2</v>
      </c>
    </row>
    <row r="128" spans="1:3" x14ac:dyDescent="0.3">
      <c r="A128" s="66">
        <v>5.3233308734308621E-2</v>
      </c>
      <c r="B128" s="77"/>
      <c r="C128" s="66">
        <v>3.1473751367641835E-2</v>
      </c>
    </row>
    <row r="129" spans="1:3" x14ac:dyDescent="0.3">
      <c r="A129" s="66">
        <v>5.4166982208089479E-2</v>
      </c>
      <c r="B129" s="77"/>
      <c r="C129" s="66">
        <v>3.1867151250982814E-2</v>
      </c>
    </row>
    <row r="130" spans="1:3" x14ac:dyDescent="0.3">
      <c r="A130" s="66">
        <v>5.5447249260766732E-2</v>
      </c>
      <c r="B130" s="77"/>
      <c r="C130" s="66">
        <v>3.2359239582586803E-2</v>
      </c>
    </row>
    <row r="131" spans="1:3" x14ac:dyDescent="0.3">
      <c r="A131" s="66">
        <v>5.7070953159078633E-2</v>
      </c>
      <c r="B131" s="77"/>
      <c r="C131" s="66">
        <v>3.2927084398389844E-2</v>
      </c>
    </row>
    <row r="132" spans="1:3" x14ac:dyDescent="0.3">
      <c r="A132" s="66">
        <v>5.8454321422199272E-2</v>
      </c>
      <c r="B132" s="77"/>
      <c r="C132" s="66">
        <v>3.3360026694488044E-2</v>
      </c>
    </row>
    <row r="133" spans="1:3" x14ac:dyDescent="0.3">
      <c r="A133" s="66">
        <v>6.1109563929814446E-2</v>
      </c>
      <c r="B133" s="77"/>
      <c r="C133" s="66">
        <v>3.4108360394545199E-2</v>
      </c>
    </row>
    <row r="134" spans="1:3" x14ac:dyDescent="0.3">
      <c r="A134" s="66">
        <v>6.5032307023993347E-2</v>
      </c>
      <c r="B134" s="77"/>
      <c r="C134" s="66">
        <v>3.5074075088721728E-2</v>
      </c>
    </row>
    <row r="135" spans="1:3" x14ac:dyDescent="0.3">
      <c r="A135" s="66">
        <v>6.5690855974735965E-2</v>
      </c>
      <c r="B135" s="77"/>
      <c r="C135" s="66">
        <v>3.5220159821734771E-2</v>
      </c>
    </row>
    <row r="136" spans="1:3" x14ac:dyDescent="0.3">
      <c r="A136" s="66">
        <v>6.6309903658477221E-2</v>
      </c>
      <c r="B136" s="77"/>
      <c r="C136" s="66">
        <v>3.5334550814502846E-2</v>
      </c>
    </row>
    <row r="137" spans="1:3" x14ac:dyDescent="0.3">
      <c r="A137" s="66">
        <v>6.7394794842985786E-2</v>
      </c>
      <c r="B137" s="77"/>
      <c r="C137" s="66">
        <v>3.5502062960353908E-2</v>
      </c>
    </row>
    <row r="138" spans="1:3" x14ac:dyDescent="0.3">
      <c r="A138" s="66">
        <v>6.9555187819740627E-2</v>
      </c>
      <c r="B138" s="77"/>
      <c r="C138" s="66">
        <v>3.577089095154426E-2</v>
      </c>
    </row>
    <row r="139" spans="1:3" x14ac:dyDescent="0.3">
      <c r="A139" s="66">
        <v>7.4598734767509389E-2</v>
      </c>
      <c r="B139" s="77"/>
      <c r="C139" s="66">
        <v>3.6253258404961582E-2</v>
      </c>
    </row>
    <row r="140" spans="1:3" x14ac:dyDescent="0.3">
      <c r="A140" s="66">
        <v>9.0909929898639191E-2</v>
      </c>
      <c r="B140" s="77"/>
      <c r="C140" s="66">
        <v>3.7363902506070627E-2</v>
      </c>
    </row>
    <row r="141" spans="1:3" x14ac:dyDescent="0.3">
      <c r="A141" s="66">
        <v>0.16069061140532118</v>
      </c>
      <c r="B141" s="77"/>
      <c r="C141" s="66">
        <v>4.074310950490477E-2</v>
      </c>
    </row>
    <row r="142" spans="1:3" x14ac:dyDescent="0.3">
      <c r="A142" s="66">
        <v>0.16069061140532118</v>
      </c>
      <c r="B142" s="77"/>
      <c r="C142" s="66">
        <v>4.074310950490477E-2</v>
      </c>
    </row>
    <row r="143" spans="1:3" x14ac:dyDescent="0.3">
      <c r="A143" s="66">
        <v>0.16069061140532118</v>
      </c>
      <c r="B143" s="77"/>
      <c r="C143" s="66">
        <v>4.074310950490477E-2</v>
      </c>
    </row>
    <row r="144" spans="1:3" x14ac:dyDescent="0.3">
      <c r="A144" s="66">
        <v>0.16069061140532118</v>
      </c>
      <c r="B144" s="77"/>
      <c r="C144" s="66">
        <v>4.074310950490477E-2</v>
      </c>
    </row>
    <row r="145" spans="1:3" x14ac:dyDescent="0.3">
      <c r="A145" s="66">
        <v>0.16069061140532118</v>
      </c>
      <c r="B145" s="77"/>
      <c r="C145" s="66">
        <v>4.074310950490477E-2</v>
      </c>
    </row>
    <row r="146" spans="1:3" x14ac:dyDescent="0.3">
      <c r="A146" s="66">
        <v>0.16069061140532118</v>
      </c>
      <c r="B146" s="77"/>
      <c r="C146" s="66">
        <v>4.074310950490477E-2</v>
      </c>
    </row>
    <row r="147" spans="1:3" x14ac:dyDescent="0.3">
      <c r="A147" s="66">
        <v>0.16069061140532118</v>
      </c>
      <c r="B147" s="77"/>
      <c r="C147" s="66">
        <v>4.074310950490477E-2</v>
      </c>
    </row>
    <row r="148" spans="1:3" x14ac:dyDescent="0.3">
      <c r="A148" s="66">
        <v>0.16069061140532118</v>
      </c>
      <c r="B148" s="77"/>
      <c r="C148" s="66">
        <v>4.074310950490477E-2</v>
      </c>
    </row>
    <row r="149" spans="1:3" ht="14.5" thickBot="1" x14ac:dyDescent="0.35">
      <c r="A149" s="69">
        <v>0.16069061140532118</v>
      </c>
      <c r="B149" s="77"/>
      <c r="C149" s="69">
        <v>4.074310950490477E-2</v>
      </c>
    </row>
  </sheetData>
  <mergeCells count="1">
    <mergeCell ref="A1:K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2D30A-234A-42ED-A715-4860785629B1}">
  <sheetPr codeName="Trang_tính7"/>
  <dimension ref="A1:AF124"/>
  <sheetViews>
    <sheetView topLeftCell="A51" zoomScale="68" zoomScaleNormal="68" workbookViewId="0">
      <selection activeCell="F39" sqref="F39"/>
    </sheetView>
  </sheetViews>
  <sheetFormatPr defaultRowHeight="14" x14ac:dyDescent="0.3"/>
  <cols>
    <col min="1" max="1" width="10.25" customWidth="1"/>
    <col min="2" max="2" width="11.33203125" customWidth="1"/>
    <col min="3" max="3" width="8.83203125" bestFit="1" customWidth="1"/>
    <col min="4" max="4" width="13.6640625" customWidth="1"/>
    <col min="15" max="15" width="9.25" bestFit="1" customWidth="1"/>
    <col min="17" max="17" width="7.4140625" customWidth="1"/>
  </cols>
  <sheetData>
    <row r="1" spans="1:32" ht="23" x14ac:dyDescent="0.5">
      <c r="A1" s="143" t="s">
        <v>131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</row>
    <row r="2" spans="1:32" x14ac:dyDescent="0.3">
      <c r="AF2" s="18" t="s">
        <v>67</v>
      </c>
    </row>
    <row r="3" spans="1:32" x14ac:dyDescent="0.3">
      <c r="A3" s="7">
        <v>2.4171584895452498E-3</v>
      </c>
      <c r="B3" s="7">
        <v>2.5323916416905489E-3</v>
      </c>
      <c r="C3" s="7">
        <v>1.5773862975043754E-3</v>
      </c>
      <c r="D3" s="7">
        <v>1.5190926538584532E-3</v>
      </c>
      <c r="E3" s="7">
        <v>1.5182306882013693E-3</v>
      </c>
      <c r="F3" s="7">
        <v>2.0586571470224318E-3</v>
      </c>
      <c r="G3" s="7">
        <v>1.9196840423003074E-3</v>
      </c>
      <c r="H3" s="7">
        <v>2.4210001271715259E-3</v>
      </c>
      <c r="I3" s="7">
        <v>2.4293557087830221E-3</v>
      </c>
      <c r="J3" s="7">
        <v>2.2922595760485848E-3</v>
      </c>
      <c r="K3" s="7">
        <v>1.0913961810643039E-4</v>
      </c>
      <c r="L3" s="7">
        <v>1.4249379956879835E-3</v>
      </c>
      <c r="M3" s="7">
        <v>2.6041557088850851E-3</v>
      </c>
      <c r="N3" s="7">
        <v>3.5469406216989972E-4</v>
      </c>
      <c r="O3" s="7">
        <v>2.6439514949065804E-3</v>
      </c>
      <c r="P3" s="7">
        <v>9.5663911842571098E-4</v>
      </c>
      <c r="Q3" s="7">
        <v>1.7106890543973508E-3</v>
      </c>
      <c r="R3" s="7">
        <v>7.5069491414041809E-4</v>
      </c>
      <c r="S3" s="7">
        <v>2.3600057710029226E-3</v>
      </c>
      <c r="T3" s="7">
        <v>1.9746867900729162E-3</v>
      </c>
      <c r="U3" s="7">
        <v>6.9123639118671162E-4</v>
      </c>
      <c r="V3" s="7">
        <v>1.8120435642693046E-3</v>
      </c>
      <c r="W3" s="7">
        <v>1.1540966804552302E-3</v>
      </c>
      <c r="X3" s="7">
        <v>1.9433031419644308E-3</v>
      </c>
      <c r="Y3" s="7">
        <v>1.7364539456058284E-3</v>
      </c>
      <c r="Z3" s="7">
        <v>3.1166687133878487E-3</v>
      </c>
      <c r="AA3" s="7">
        <v>1.2086178531878398E-3</v>
      </c>
      <c r="AB3" s="7">
        <v>1.45606915048578E-3</v>
      </c>
      <c r="AC3" s="7">
        <v>1.943169167651723E-3</v>
      </c>
      <c r="AD3" s="7">
        <v>1.1921210953154448E-3</v>
      </c>
      <c r="AF3" s="17">
        <v>-9.7228148501555828E-4</v>
      </c>
    </row>
    <row r="4" spans="1:32" x14ac:dyDescent="0.3">
      <c r="A4" s="7">
        <v>2.5323916416905489E-3</v>
      </c>
      <c r="B4" s="7">
        <v>1.4495099160265814E-2</v>
      </c>
      <c r="C4" s="7">
        <v>2.5412267089091191E-3</v>
      </c>
      <c r="D4" s="7">
        <v>3.4785782208721131E-3</v>
      </c>
      <c r="E4" s="7">
        <v>4.9539966858376935E-3</v>
      </c>
      <c r="F4" s="7">
        <v>4.8339860711046788E-3</v>
      </c>
      <c r="G4" s="7">
        <v>4.1481214600672927E-3</v>
      </c>
      <c r="H4" s="7">
        <v>7.9900484545273754E-3</v>
      </c>
      <c r="I4" s="7">
        <v>5.957794365116992E-3</v>
      </c>
      <c r="J4" s="7">
        <v>7.4927508485761827E-3</v>
      </c>
      <c r="K4" s="7">
        <v>2.9449018628378436E-4</v>
      </c>
      <c r="L4" s="7">
        <v>1.7102312408978004E-3</v>
      </c>
      <c r="M4" s="7">
        <v>1.3529862918449143E-2</v>
      </c>
      <c r="N4" s="7">
        <v>2.968625202949719E-3</v>
      </c>
      <c r="O4" s="7">
        <v>7.667260773177466E-3</v>
      </c>
      <c r="P4" s="7">
        <v>9.1498043128570574E-4</v>
      </c>
      <c r="Q4" s="7">
        <v>3.6805479521413694E-3</v>
      </c>
      <c r="R4" s="7">
        <v>2.4866604870511341E-3</v>
      </c>
      <c r="S4" s="7">
        <v>3.5356993719671717E-3</v>
      </c>
      <c r="T4" s="7">
        <v>5.8567620889917087E-3</v>
      </c>
      <c r="U4" s="7">
        <v>3.6586966277002073E-4</v>
      </c>
      <c r="V4" s="7">
        <v>2.4795458881906396E-3</v>
      </c>
      <c r="W4" s="7">
        <v>4.079671421913348E-3</v>
      </c>
      <c r="X4" s="7">
        <v>5.7026644189779093E-3</v>
      </c>
      <c r="Y4" s="7">
        <v>6.3819744071839535E-3</v>
      </c>
      <c r="Z4" s="7">
        <v>9.1378892663955182E-3</v>
      </c>
      <c r="AA4" s="7">
        <v>1.8429309718483217E-3</v>
      </c>
      <c r="AB4" s="7">
        <v>3.8822071295009919E-3</v>
      </c>
      <c r="AC4" s="7">
        <v>9.8298896391867934E-3</v>
      </c>
      <c r="AD4" s="7">
        <v>4.0714430304877522E-3</v>
      </c>
      <c r="AF4" s="17">
        <v>2.50010100186575E-3</v>
      </c>
    </row>
    <row r="5" spans="1:32" x14ac:dyDescent="0.3">
      <c r="A5" s="7">
        <v>1.5773862975043754E-3</v>
      </c>
      <c r="B5" s="7">
        <v>2.5412267089091191E-3</v>
      </c>
      <c r="C5" s="7">
        <v>2.5821472367638841E-2</v>
      </c>
      <c r="D5" s="7">
        <v>2.3347498285912404E-3</v>
      </c>
      <c r="E5" s="7">
        <v>1.9543325833054673E-3</v>
      </c>
      <c r="F5" s="7">
        <v>4.128573675366105E-3</v>
      </c>
      <c r="G5" s="7">
        <v>2.5645080185139335E-3</v>
      </c>
      <c r="H5" s="7">
        <v>3.5517028248358744E-3</v>
      </c>
      <c r="I5" s="7">
        <v>3.2619742653772999E-3</v>
      </c>
      <c r="J5" s="7">
        <v>2.3617947301490002E-3</v>
      </c>
      <c r="K5" s="7">
        <v>6.5466756212319331E-4</v>
      </c>
      <c r="L5" s="7">
        <v>-1.3163534939733437E-4</v>
      </c>
      <c r="M5" s="7">
        <v>2.1824655279877761E-3</v>
      </c>
      <c r="N5" s="7">
        <v>4.4006514598318325E-3</v>
      </c>
      <c r="O5" s="7">
        <v>3.8993783520661508E-3</v>
      </c>
      <c r="P5" s="7">
        <v>1.3718704045986197E-3</v>
      </c>
      <c r="Q5" s="7">
        <v>2.248716332040547E-3</v>
      </c>
      <c r="R5" s="7">
        <v>3.226059817276091E-4</v>
      </c>
      <c r="S5" s="7">
        <v>3.5574189684292861E-3</v>
      </c>
      <c r="T5" s="7">
        <v>3.5197411452386287E-3</v>
      </c>
      <c r="U5" s="7">
        <v>9.1615708699997788E-4</v>
      </c>
      <c r="V5" s="7">
        <v>2.383582057335847E-3</v>
      </c>
      <c r="W5" s="7">
        <v>2.1702026703433659E-3</v>
      </c>
      <c r="X5" s="7">
        <v>3.4629976578599213E-3</v>
      </c>
      <c r="Y5" s="7">
        <v>2.1866615723753527E-3</v>
      </c>
      <c r="Z5" s="7">
        <v>4.9178305202009481E-3</v>
      </c>
      <c r="AA5" s="7">
        <v>9.6081333470328151E-4</v>
      </c>
      <c r="AB5" s="7">
        <v>1.2000365374160071E-3</v>
      </c>
      <c r="AC5" s="7">
        <v>6.5757909781266445E-3</v>
      </c>
      <c r="AD5" s="7">
        <v>1.6728491358270921E-3</v>
      </c>
      <c r="AF5" s="17">
        <v>4.0743109326464945E-2</v>
      </c>
    </row>
    <row r="6" spans="1:32" x14ac:dyDescent="0.3">
      <c r="A6" s="7">
        <v>1.5190926538584532E-3</v>
      </c>
      <c r="B6" s="7">
        <v>3.4785782208721131E-3</v>
      </c>
      <c r="C6" s="7">
        <v>2.3347498285912404E-3</v>
      </c>
      <c r="D6" s="7">
        <v>5.4198518975310589E-3</v>
      </c>
      <c r="E6" s="7">
        <v>2.7913636742597538E-3</v>
      </c>
      <c r="F6" s="7">
        <v>3.1368533229061738E-3</v>
      </c>
      <c r="G6" s="7">
        <v>2.2860766675251438E-3</v>
      </c>
      <c r="H6" s="7">
        <v>3.6829759387857993E-3</v>
      </c>
      <c r="I6" s="7">
        <v>2.9171350824526709E-3</v>
      </c>
      <c r="J6" s="7">
        <v>3.0311710521386597E-3</v>
      </c>
      <c r="K6" s="7">
        <v>1.030969627483339E-3</v>
      </c>
      <c r="L6" s="7">
        <v>2.0944107622822262E-3</v>
      </c>
      <c r="M6" s="7">
        <v>3.5150389591823211E-3</v>
      </c>
      <c r="N6" s="7">
        <v>1.5691751825304421E-3</v>
      </c>
      <c r="O6" s="7">
        <v>5.2833279950362157E-3</v>
      </c>
      <c r="P6" s="7">
        <v>1.3673909837570728E-3</v>
      </c>
      <c r="Q6" s="7">
        <v>1.6598474114162232E-3</v>
      </c>
      <c r="R6" s="7">
        <v>2.1514188194490576E-3</v>
      </c>
      <c r="S6" s="7">
        <v>2.3283317584243965E-3</v>
      </c>
      <c r="T6" s="7">
        <v>2.8244740356994169E-3</v>
      </c>
      <c r="U6" s="7">
        <v>5.7732531805224823E-4</v>
      </c>
      <c r="V6" s="7">
        <v>3.1450387477968919E-3</v>
      </c>
      <c r="W6" s="7">
        <v>2.0817894334128162E-3</v>
      </c>
      <c r="X6" s="7">
        <v>3.0891143466083063E-3</v>
      </c>
      <c r="Y6" s="7">
        <v>2.8444248987025507E-3</v>
      </c>
      <c r="Z6" s="7">
        <v>4.8142831983273814E-3</v>
      </c>
      <c r="AA6" s="7">
        <v>1.7458317327857494E-3</v>
      </c>
      <c r="AB6" s="7">
        <v>2.4646757360674873E-3</v>
      </c>
      <c r="AC6" s="7">
        <v>3.9696606660632617E-3</v>
      </c>
      <c r="AD6" s="7">
        <v>2.2365143836244402E-3</v>
      </c>
      <c r="AF6" s="17">
        <v>7.9783098437083422E-3</v>
      </c>
    </row>
    <row r="7" spans="1:32" x14ac:dyDescent="0.3">
      <c r="A7" s="7">
        <v>1.5182306882013693E-3</v>
      </c>
      <c r="B7" s="7">
        <v>4.9539966858376935E-3</v>
      </c>
      <c r="C7" s="7">
        <v>1.9543325833054673E-3</v>
      </c>
      <c r="D7" s="7">
        <v>2.7913636742597538E-3</v>
      </c>
      <c r="E7" s="7">
        <v>4.8813158737581117E-3</v>
      </c>
      <c r="F7" s="7">
        <v>2.9339804014662202E-3</v>
      </c>
      <c r="G7" s="7">
        <v>2.9640783234690673E-3</v>
      </c>
      <c r="H7" s="7">
        <v>4.7428780224355593E-3</v>
      </c>
      <c r="I7" s="7">
        <v>3.6403168252736999E-3</v>
      </c>
      <c r="J7" s="7">
        <v>4.5033499921794673E-3</v>
      </c>
      <c r="K7" s="7">
        <v>-5.5070214372127731E-4</v>
      </c>
      <c r="L7" s="7">
        <v>1.8841198392042045E-3</v>
      </c>
      <c r="M7" s="7">
        <v>5.1135368155679692E-3</v>
      </c>
      <c r="N7" s="7">
        <v>2.4559210556413104E-3</v>
      </c>
      <c r="O7" s="7">
        <v>4.5334207755064072E-3</v>
      </c>
      <c r="P7" s="7">
        <v>7.4079640794721578E-4</v>
      </c>
      <c r="Q7" s="7">
        <v>1.6846551410446835E-3</v>
      </c>
      <c r="R7" s="7">
        <v>1.9882333282531233E-3</v>
      </c>
      <c r="S7" s="7">
        <v>1.7814822223195244E-3</v>
      </c>
      <c r="T7" s="7">
        <v>4.3933039776248017E-3</v>
      </c>
      <c r="U7" s="7">
        <v>6.699546072629581E-5</v>
      </c>
      <c r="V7" s="7">
        <v>2.1479629930577066E-3</v>
      </c>
      <c r="W7" s="7">
        <v>1.5724590754507776E-3</v>
      </c>
      <c r="X7" s="7">
        <v>4.152081607538001E-3</v>
      </c>
      <c r="Y7" s="7">
        <v>4.3127698574231292E-3</v>
      </c>
      <c r="Z7" s="7">
        <v>6.0680443552748155E-3</v>
      </c>
      <c r="AA7" s="7">
        <v>1.4847253270266073E-3</v>
      </c>
      <c r="AB7" s="7">
        <v>3.7248298520269601E-3</v>
      </c>
      <c r="AC7" s="7">
        <v>6.0345769317669091E-3</v>
      </c>
      <c r="AD7" s="7">
        <v>3.843056397417386E-3</v>
      </c>
      <c r="AF7" s="17">
        <v>5.3214208137620442E-3</v>
      </c>
    </row>
    <row r="8" spans="1:32" x14ac:dyDescent="0.3">
      <c r="A8" s="7">
        <v>2.0586571470224318E-3</v>
      </c>
      <c r="B8" s="7">
        <v>4.8339860711046788E-3</v>
      </c>
      <c r="C8" s="7">
        <v>4.128573675366105E-3</v>
      </c>
      <c r="D8" s="7">
        <v>3.1368533229061738E-3</v>
      </c>
      <c r="E8" s="7">
        <v>2.9339804014662202E-3</v>
      </c>
      <c r="F8" s="7">
        <v>4.9621197449548245E-3</v>
      </c>
      <c r="G8" s="7">
        <v>2.9044808318325079E-3</v>
      </c>
      <c r="H8" s="7">
        <v>4.8105567396949959E-3</v>
      </c>
      <c r="I8" s="7">
        <v>4.2057114478422E-3</v>
      </c>
      <c r="J8" s="7">
        <v>3.9577073238039944E-3</v>
      </c>
      <c r="K8" s="7">
        <v>7.1523791449765563E-4</v>
      </c>
      <c r="L8" s="7">
        <v>2.1002621178058387E-3</v>
      </c>
      <c r="M8" s="7">
        <v>4.7397527859387879E-3</v>
      </c>
      <c r="N8" s="7">
        <v>2.1061936129378703E-3</v>
      </c>
      <c r="O8" s="7">
        <v>5.4748744124329118E-3</v>
      </c>
      <c r="P8" s="7">
        <v>1.256161736378448E-3</v>
      </c>
      <c r="Q8" s="7">
        <v>2.0160278874046525E-3</v>
      </c>
      <c r="R8" s="7">
        <v>1.4585693144848818E-3</v>
      </c>
      <c r="S8" s="7">
        <v>2.1326924895178215E-3</v>
      </c>
      <c r="T8" s="7">
        <v>3.7813528018831965E-3</v>
      </c>
      <c r="U8" s="7">
        <v>9.4322029082712718E-4</v>
      </c>
      <c r="V8" s="7">
        <v>2.5906351181880869E-3</v>
      </c>
      <c r="W8" s="7">
        <v>1.7420497678581025E-3</v>
      </c>
      <c r="X8" s="7">
        <v>3.7514856395148804E-3</v>
      </c>
      <c r="Y8" s="7">
        <v>4.1789886878068555E-3</v>
      </c>
      <c r="Z8" s="7">
        <v>6.0890993093112569E-3</v>
      </c>
      <c r="AA8" s="7">
        <v>1.4256780993732307E-3</v>
      </c>
      <c r="AB8" s="7">
        <v>2.6759469374499113E-3</v>
      </c>
      <c r="AC8" s="7">
        <v>5.6207532036572768E-3</v>
      </c>
      <c r="AD8" s="7">
        <v>2.3313656336295106E-3</v>
      </c>
      <c r="AF8" s="17">
        <v>6.9288135410347593E-3</v>
      </c>
    </row>
    <row r="9" spans="1:32" x14ac:dyDescent="0.3">
      <c r="A9" s="7">
        <v>1.9196840423003074E-3</v>
      </c>
      <c r="B9" s="7">
        <v>4.1481214600672927E-3</v>
      </c>
      <c r="C9" s="7">
        <v>2.5645080185139335E-3</v>
      </c>
      <c r="D9" s="7">
        <v>2.2860766675251438E-3</v>
      </c>
      <c r="E9" s="7">
        <v>2.9640783234690673E-3</v>
      </c>
      <c r="F9" s="7">
        <v>2.9044808318325079E-3</v>
      </c>
      <c r="G9" s="7">
        <v>4.7671039173725407E-3</v>
      </c>
      <c r="H9" s="7">
        <v>4.6893406422343882E-3</v>
      </c>
      <c r="I9" s="7">
        <v>3.3938969228338531E-3</v>
      </c>
      <c r="J9" s="7">
        <v>4.2676554205163322E-3</v>
      </c>
      <c r="K9" s="7">
        <v>6.5378528522928511E-4</v>
      </c>
      <c r="L9" s="7">
        <v>1.5207326956925894E-3</v>
      </c>
      <c r="M9" s="7">
        <v>4.3116797684265851E-3</v>
      </c>
      <c r="N9" s="7">
        <v>2.2649638687050337E-3</v>
      </c>
      <c r="O9" s="7">
        <v>5.2442934546365373E-3</v>
      </c>
      <c r="P9" s="7">
        <v>1.3282523437938068E-3</v>
      </c>
      <c r="Q9" s="7">
        <v>1.8787506150263855E-3</v>
      </c>
      <c r="R9" s="7">
        <v>1.2838844712973539E-3</v>
      </c>
      <c r="S9" s="7">
        <v>1.8889522172047873E-3</v>
      </c>
      <c r="T9" s="7">
        <v>3.0641686413297848E-3</v>
      </c>
      <c r="U9" s="7">
        <v>6.5361274837922798E-4</v>
      </c>
      <c r="V9" s="7">
        <v>2.4117110190098648E-3</v>
      </c>
      <c r="W9" s="7">
        <v>1.5025559409206277E-3</v>
      </c>
      <c r="X9" s="7">
        <v>3.6074959413396859E-3</v>
      </c>
      <c r="Y9" s="7">
        <v>3.2591024138710267E-3</v>
      </c>
      <c r="Z9" s="7">
        <v>6.1668034523249451E-3</v>
      </c>
      <c r="AA9" s="7">
        <v>1.5463198460653528E-3</v>
      </c>
      <c r="AB9" s="7">
        <v>2.1373962145003439E-3</v>
      </c>
      <c r="AC9" s="7">
        <v>4.1293042885421497E-3</v>
      </c>
      <c r="AD9" s="7">
        <v>2.5722249157352712E-3</v>
      </c>
      <c r="AF9" s="17">
        <v>6.5518805534664241E-3</v>
      </c>
    </row>
    <row r="10" spans="1:32" x14ac:dyDescent="0.3">
      <c r="A10" s="7">
        <v>2.4210001271715259E-3</v>
      </c>
      <c r="B10" s="7">
        <v>7.9900484545273754E-3</v>
      </c>
      <c r="C10" s="7">
        <v>3.5517028248358744E-3</v>
      </c>
      <c r="D10" s="7">
        <v>3.6829759387857993E-3</v>
      </c>
      <c r="E10" s="7">
        <v>4.7428780224355593E-3</v>
      </c>
      <c r="F10" s="7">
        <v>4.8105567396949959E-3</v>
      </c>
      <c r="G10" s="7">
        <v>4.6893406422343882E-3</v>
      </c>
      <c r="H10" s="7">
        <v>9.0200465000047202E-3</v>
      </c>
      <c r="I10" s="7">
        <v>6.7286923323565144E-3</v>
      </c>
      <c r="J10" s="7">
        <v>7.2913462166003407E-3</v>
      </c>
      <c r="K10" s="7">
        <v>9.9692778201042722E-4</v>
      </c>
      <c r="L10" s="7">
        <v>2.504218685195311E-3</v>
      </c>
      <c r="M10" s="7">
        <v>8.247573489224622E-3</v>
      </c>
      <c r="N10" s="7">
        <v>3.3432447489845927E-3</v>
      </c>
      <c r="O10" s="7">
        <v>8.4181753990094765E-3</v>
      </c>
      <c r="P10" s="7">
        <v>1.2334651992766438E-3</v>
      </c>
      <c r="Q10" s="7">
        <v>2.9454354947826681E-3</v>
      </c>
      <c r="R10" s="7">
        <v>2.1007910609101357E-3</v>
      </c>
      <c r="S10" s="7">
        <v>2.3514714687813362E-3</v>
      </c>
      <c r="T10" s="7">
        <v>5.4325618721016728E-3</v>
      </c>
      <c r="U10" s="7">
        <v>4.8357813194424256E-4</v>
      </c>
      <c r="V10" s="7">
        <v>3.1293529022805547E-3</v>
      </c>
      <c r="W10" s="7">
        <v>2.2664922543573214E-3</v>
      </c>
      <c r="X10" s="7">
        <v>5.9218241703404258E-3</v>
      </c>
      <c r="Y10" s="7">
        <v>7.3302384046999413E-3</v>
      </c>
      <c r="Z10" s="7">
        <v>9.5449616457973993E-3</v>
      </c>
      <c r="AA10" s="7">
        <v>2.4419870474809884E-3</v>
      </c>
      <c r="AB10" s="7">
        <v>4.0922765559085819E-3</v>
      </c>
      <c r="AC10" s="7">
        <v>8.1996098382163471E-3</v>
      </c>
      <c r="AD10" s="7">
        <v>3.9883344027427329E-3</v>
      </c>
      <c r="AF10" s="17">
        <v>-7.7221345639838133E-4</v>
      </c>
    </row>
    <row r="11" spans="1:32" x14ac:dyDescent="0.3">
      <c r="A11" s="7">
        <v>2.4293557087830221E-3</v>
      </c>
      <c r="B11" s="7">
        <v>5.957794365116992E-3</v>
      </c>
      <c r="C11" s="7">
        <v>3.2619742653772999E-3</v>
      </c>
      <c r="D11" s="7">
        <v>2.9171350824526709E-3</v>
      </c>
      <c r="E11" s="7">
        <v>3.6403168252736999E-3</v>
      </c>
      <c r="F11" s="7">
        <v>4.2057114478422E-3</v>
      </c>
      <c r="G11" s="7">
        <v>3.3938969228338531E-3</v>
      </c>
      <c r="H11" s="7">
        <v>6.7286923323565144E-3</v>
      </c>
      <c r="I11" s="7">
        <v>8.9095290724769821E-3</v>
      </c>
      <c r="J11" s="7">
        <v>5.7856621305237754E-3</v>
      </c>
      <c r="K11" s="7">
        <v>2.9910360835192363E-4</v>
      </c>
      <c r="L11" s="7">
        <v>2.432007903357054E-3</v>
      </c>
      <c r="M11" s="7">
        <v>6.2217190601028191E-3</v>
      </c>
      <c r="N11" s="7">
        <v>2.796609394293418E-3</v>
      </c>
      <c r="O11" s="7">
        <v>6.5066042804420264E-3</v>
      </c>
      <c r="P11" s="7">
        <v>9.1959209453043838E-4</v>
      </c>
      <c r="Q11" s="7">
        <v>2.6140605673320503E-3</v>
      </c>
      <c r="R11" s="7">
        <v>1.781831350892405E-3</v>
      </c>
      <c r="S11" s="7">
        <v>3.0430986503302989E-3</v>
      </c>
      <c r="T11" s="7">
        <v>5.2861214984274724E-3</v>
      </c>
      <c r="U11" s="7">
        <v>1.0389046466522409E-3</v>
      </c>
      <c r="V11" s="7">
        <v>3.0980845852455665E-3</v>
      </c>
      <c r="W11" s="7">
        <v>1.357927401447869E-3</v>
      </c>
      <c r="X11" s="7">
        <v>5.0814341261584796E-3</v>
      </c>
      <c r="Y11" s="7">
        <v>6.9452665682849524E-3</v>
      </c>
      <c r="Z11" s="7">
        <v>1.0101437266593322E-2</v>
      </c>
      <c r="AA11" s="7">
        <v>2.4204257927906091E-3</v>
      </c>
      <c r="AB11" s="7">
        <v>3.2471699592072486E-3</v>
      </c>
      <c r="AC11" s="7">
        <v>7.2734508141150409E-3</v>
      </c>
      <c r="AD11" s="7">
        <v>2.8729765487115369E-3</v>
      </c>
      <c r="AF11" s="17">
        <v>1.7396897908116257E-2</v>
      </c>
    </row>
    <row r="12" spans="1:32" x14ac:dyDescent="0.3">
      <c r="A12" s="7">
        <v>2.2922595760485848E-3</v>
      </c>
      <c r="B12" s="7">
        <v>7.4927508485761827E-3</v>
      </c>
      <c r="C12" s="7">
        <v>2.3617947301490002E-3</v>
      </c>
      <c r="D12" s="7">
        <v>3.0311710521386597E-3</v>
      </c>
      <c r="E12" s="7">
        <v>4.5033499921794673E-3</v>
      </c>
      <c r="F12" s="7">
        <v>3.9577073238039944E-3</v>
      </c>
      <c r="G12" s="7">
        <v>4.2676554205163322E-3</v>
      </c>
      <c r="H12" s="7">
        <v>7.2913462166003407E-3</v>
      </c>
      <c r="I12" s="7">
        <v>5.7856621305237754E-3</v>
      </c>
      <c r="J12" s="7">
        <v>7.5997002586492262E-3</v>
      </c>
      <c r="K12" s="7">
        <v>-7.9846779931642999E-6</v>
      </c>
      <c r="L12" s="7">
        <v>2.0788441101623305E-3</v>
      </c>
      <c r="M12" s="7">
        <v>7.3985019029447017E-3</v>
      </c>
      <c r="N12" s="7">
        <v>2.9327041478962126E-3</v>
      </c>
      <c r="O12" s="7">
        <v>6.8673304735182468E-3</v>
      </c>
      <c r="P12" s="7">
        <v>8.5923951953882052E-4</v>
      </c>
      <c r="Q12" s="7">
        <v>2.5760837784874527E-3</v>
      </c>
      <c r="R12" s="7">
        <v>1.7594147884001912E-3</v>
      </c>
      <c r="S12" s="7">
        <v>1.7408268119949489E-3</v>
      </c>
      <c r="T12" s="7">
        <v>4.4139992540125827E-3</v>
      </c>
      <c r="U12" s="7">
        <v>4.4372076386075079E-4</v>
      </c>
      <c r="V12" s="7">
        <v>2.607118829770062E-3</v>
      </c>
      <c r="W12" s="7">
        <v>1.8723169695680584E-3</v>
      </c>
      <c r="X12" s="7">
        <v>5.2553467810551096E-3</v>
      </c>
      <c r="Y12" s="7">
        <v>5.97724779836216E-3</v>
      </c>
      <c r="Z12" s="7">
        <v>7.47245834343739E-3</v>
      </c>
      <c r="AA12" s="7">
        <v>1.7451344782734191E-3</v>
      </c>
      <c r="AB12" s="7">
        <v>3.5296212393389585E-3</v>
      </c>
      <c r="AC12" s="7">
        <v>6.6485223847282809E-3</v>
      </c>
      <c r="AD12" s="7">
        <v>3.5670421177579005E-3</v>
      </c>
      <c r="AF12" s="17">
        <v>-2.1073168997166715E-3</v>
      </c>
    </row>
    <row r="13" spans="1:32" x14ac:dyDescent="0.3">
      <c r="A13" s="7">
        <v>1.0913961810643039E-4</v>
      </c>
      <c r="B13" s="7">
        <v>2.9449018628378436E-4</v>
      </c>
      <c r="C13" s="7">
        <v>6.5466756212319331E-4</v>
      </c>
      <c r="D13" s="7">
        <v>1.030969627483339E-3</v>
      </c>
      <c r="E13" s="7">
        <v>-5.5070214372127731E-4</v>
      </c>
      <c r="F13" s="7">
        <v>7.1523791449765563E-4</v>
      </c>
      <c r="G13" s="7">
        <v>6.5378528522928511E-4</v>
      </c>
      <c r="H13" s="7">
        <v>9.9692778201042722E-4</v>
      </c>
      <c r="I13" s="7">
        <v>2.9910360835192363E-4</v>
      </c>
      <c r="J13" s="7">
        <v>-7.9846779931642999E-6</v>
      </c>
      <c r="K13" s="7">
        <v>6.8071706223236331E-3</v>
      </c>
      <c r="L13" s="7">
        <v>5.9920612659697945E-4</v>
      </c>
      <c r="M13" s="7">
        <v>1.3606919572551661E-4</v>
      </c>
      <c r="N13" s="7">
        <v>9.1181919118716107E-4</v>
      </c>
      <c r="O13" s="7">
        <v>2.4673860554914199E-3</v>
      </c>
      <c r="P13" s="7">
        <v>4.6821171399265575E-4</v>
      </c>
      <c r="Q13" s="7">
        <v>1.0946850438657988E-3</v>
      </c>
      <c r="R13" s="7">
        <v>3.9425266804311415E-4</v>
      </c>
      <c r="S13" s="7">
        <v>1.4525177412502367E-3</v>
      </c>
      <c r="T13" s="7">
        <v>2.1147813110168354E-4</v>
      </c>
      <c r="U13" s="7">
        <v>6.3345055165224323E-4</v>
      </c>
      <c r="V13" s="7">
        <v>1.5641899231816977E-3</v>
      </c>
      <c r="W13" s="7">
        <v>7.9161824507771193E-4</v>
      </c>
      <c r="X13" s="7">
        <v>-1.6543932340645803E-4</v>
      </c>
      <c r="Y13" s="7">
        <v>5.3610085630297413E-4</v>
      </c>
      <c r="Z13" s="7">
        <v>7.32360345164446E-4</v>
      </c>
      <c r="AA13" s="7">
        <v>5.3308099379059241E-5</v>
      </c>
      <c r="AB13" s="7">
        <v>-1.9414786655893706E-4</v>
      </c>
      <c r="AC13" s="7">
        <v>1.364033267883327E-3</v>
      </c>
      <c r="AD13" s="7">
        <v>-1.7422386638884697E-4</v>
      </c>
      <c r="AF13" s="17">
        <v>3.4012698606636367E-2</v>
      </c>
    </row>
    <row r="14" spans="1:32" x14ac:dyDescent="0.3">
      <c r="A14" s="7">
        <v>1.4249379956879835E-3</v>
      </c>
      <c r="B14" s="7">
        <v>1.7102312408978004E-3</v>
      </c>
      <c r="C14" s="7">
        <v>-1.3163534939733437E-4</v>
      </c>
      <c r="D14" s="7">
        <v>2.0944107622822262E-3</v>
      </c>
      <c r="E14" s="7">
        <v>1.8841198392042045E-3</v>
      </c>
      <c r="F14" s="7">
        <v>2.1002621178058387E-3</v>
      </c>
      <c r="G14" s="7">
        <v>1.5207326956925894E-3</v>
      </c>
      <c r="H14" s="7">
        <v>2.504218685195311E-3</v>
      </c>
      <c r="I14" s="7">
        <v>2.432007903357054E-3</v>
      </c>
      <c r="J14" s="7">
        <v>2.0788441101623305E-3</v>
      </c>
      <c r="K14" s="7">
        <v>5.9920612659697945E-4</v>
      </c>
      <c r="L14" s="7">
        <v>5.5403235477444347E-3</v>
      </c>
      <c r="M14" s="7">
        <v>1.984371262962535E-3</v>
      </c>
      <c r="N14" s="7">
        <v>1.4381192708695114E-3</v>
      </c>
      <c r="O14" s="7">
        <v>3.1741946104171508E-3</v>
      </c>
      <c r="P14" s="7">
        <v>1.5428929525017777E-3</v>
      </c>
      <c r="Q14" s="7">
        <v>1.1817881621429547E-3</v>
      </c>
      <c r="R14" s="7">
        <v>1.1581105256286452E-3</v>
      </c>
      <c r="S14" s="7">
        <v>2.5763689999021453E-3</v>
      </c>
      <c r="T14" s="7">
        <v>3.4229565698009798E-3</v>
      </c>
      <c r="U14" s="7">
        <v>1.1693402275278061E-3</v>
      </c>
      <c r="V14" s="7">
        <v>1.4423513431174255E-3</v>
      </c>
      <c r="W14" s="7">
        <v>9.2414605387061872E-4</v>
      </c>
      <c r="X14" s="7">
        <v>2.4335330278885841E-3</v>
      </c>
      <c r="Y14" s="7">
        <v>3.1748469422523099E-3</v>
      </c>
      <c r="Z14" s="7">
        <v>5.6740114408066469E-3</v>
      </c>
      <c r="AA14" s="7">
        <v>2.5594237623329276E-3</v>
      </c>
      <c r="AB14" s="7">
        <v>1.9187205928992974E-3</v>
      </c>
      <c r="AC14" s="7">
        <v>3.1953062542965011E-3</v>
      </c>
      <c r="AD14" s="7">
        <v>2.0298015012944434E-3</v>
      </c>
      <c r="AF14" s="17">
        <v>1.9868434168737327E-2</v>
      </c>
    </row>
    <row r="15" spans="1:32" x14ac:dyDescent="0.3">
      <c r="A15" s="7">
        <v>2.6041557088850851E-3</v>
      </c>
      <c r="B15" s="7">
        <v>1.3529862918449143E-2</v>
      </c>
      <c r="C15" s="7">
        <v>2.1824655279877761E-3</v>
      </c>
      <c r="D15" s="7">
        <v>3.5150389591823211E-3</v>
      </c>
      <c r="E15" s="7">
        <v>5.1135368155679692E-3</v>
      </c>
      <c r="F15" s="7">
        <v>4.7397527859387879E-3</v>
      </c>
      <c r="G15" s="7">
        <v>4.3116797684265851E-3</v>
      </c>
      <c r="H15" s="7">
        <v>8.247573489224622E-3</v>
      </c>
      <c r="I15" s="7">
        <v>6.2217190601028191E-3</v>
      </c>
      <c r="J15" s="7">
        <v>7.3985019029447017E-3</v>
      </c>
      <c r="K15" s="7">
        <v>1.3606919572551661E-4</v>
      </c>
      <c r="L15" s="7">
        <v>1.984371262962535E-3</v>
      </c>
      <c r="M15" s="7">
        <v>1.3239817835991196E-2</v>
      </c>
      <c r="N15" s="7">
        <v>2.8663144892335569E-3</v>
      </c>
      <c r="O15" s="7">
        <v>7.4562876275936574E-3</v>
      </c>
      <c r="P15" s="7">
        <v>1.1942598397626527E-3</v>
      </c>
      <c r="Q15" s="7">
        <v>3.3733384939659233E-3</v>
      </c>
      <c r="R15" s="7">
        <v>2.5994978103856263E-3</v>
      </c>
      <c r="S15" s="7">
        <v>3.8336732478234455E-3</v>
      </c>
      <c r="T15" s="7">
        <v>6.0660657247355032E-3</v>
      </c>
      <c r="U15" s="7">
        <v>4.2265971299996845E-4</v>
      </c>
      <c r="V15" s="7">
        <v>2.7390410031274256E-3</v>
      </c>
      <c r="W15" s="7">
        <v>3.8898734855652571E-3</v>
      </c>
      <c r="X15" s="7">
        <v>5.8259637419216534E-3</v>
      </c>
      <c r="Y15" s="7">
        <v>6.5849640930353021E-3</v>
      </c>
      <c r="Z15" s="7">
        <v>9.916240560862731E-3</v>
      </c>
      <c r="AA15" s="7">
        <v>1.9567430279687588E-3</v>
      </c>
      <c r="AB15" s="7">
        <v>4.0589330120773051E-3</v>
      </c>
      <c r="AC15" s="7">
        <v>9.7287475102999978E-3</v>
      </c>
      <c r="AD15" s="7">
        <v>4.417252691005142E-3</v>
      </c>
      <c r="AF15" s="17">
        <v>2.6243704516471329E-3</v>
      </c>
    </row>
    <row r="16" spans="1:32" x14ac:dyDescent="0.3">
      <c r="A16" s="7">
        <v>3.5469406216989972E-4</v>
      </c>
      <c r="B16" s="7">
        <v>2.968625202949719E-3</v>
      </c>
      <c r="C16" s="7">
        <v>4.4006514598318325E-3</v>
      </c>
      <c r="D16" s="7">
        <v>1.5691751825304421E-3</v>
      </c>
      <c r="E16" s="7">
        <v>2.4559210556413104E-3</v>
      </c>
      <c r="F16" s="7">
        <v>2.1061936129378703E-3</v>
      </c>
      <c r="G16" s="7">
        <v>2.2649638687050337E-3</v>
      </c>
      <c r="H16" s="7">
        <v>3.3432447489845927E-3</v>
      </c>
      <c r="I16" s="7">
        <v>2.796609394293418E-3</v>
      </c>
      <c r="J16" s="7">
        <v>2.9327041478962126E-3</v>
      </c>
      <c r="K16" s="7">
        <v>9.1181919118716107E-4</v>
      </c>
      <c r="L16" s="7">
        <v>1.4381192708695114E-3</v>
      </c>
      <c r="M16" s="7">
        <v>2.8663144892335569E-3</v>
      </c>
      <c r="N16" s="7">
        <v>9.5449097792667924E-3</v>
      </c>
      <c r="O16" s="7">
        <v>3.5109375163572599E-3</v>
      </c>
      <c r="P16" s="7">
        <v>7.3399962082955513E-4</v>
      </c>
      <c r="Q16" s="7">
        <v>9.9650457611702306E-4</v>
      </c>
      <c r="R16" s="7">
        <v>1.6261601038383665E-3</v>
      </c>
      <c r="S16" s="7">
        <v>1.5213014232857204E-3</v>
      </c>
      <c r="T16" s="7">
        <v>2.6268597763200252E-3</v>
      </c>
      <c r="U16" s="7">
        <v>4.3080250768179589E-4</v>
      </c>
      <c r="V16" s="7">
        <v>2.4280857864644079E-3</v>
      </c>
      <c r="W16" s="7">
        <v>5.9247078761677941E-4</v>
      </c>
      <c r="X16" s="7">
        <v>2.6978319876377523E-3</v>
      </c>
      <c r="Y16" s="7">
        <v>3.8927745877437949E-3</v>
      </c>
      <c r="Z16" s="7">
        <v>5.6212203663312558E-3</v>
      </c>
      <c r="AA16" s="7">
        <v>4.0846774786940268E-5</v>
      </c>
      <c r="AB16" s="7">
        <v>1.8860732537281846E-3</v>
      </c>
      <c r="AC16" s="7">
        <v>3.4699044142861403E-3</v>
      </c>
      <c r="AD16" s="7">
        <v>1.9538420122091745E-3</v>
      </c>
      <c r="AF16" s="17">
        <v>3.4350656596959711E-2</v>
      </c>
    </row>
    <row r="17" spans="1:32" x14ac:dyDescent="0.3">
      <c r="A17" s="7">
        <v>2.6439514949065804E-3</v>
      </c>
      <c r="B17" s="7">
        <v>7.667260773177466E-3</v>
      </c>
      <c r="C17" s="7">
        <v>3.8993783520661508E-3</v>
      </c>
      <c r="D17" s="7">
        <v>5.2833279950362157E-3</v>
      </c>
      <c r="E17" s="7">
        <v>4.5334207755064072E-3</v>
      </c>
      <c r="F17" s="7">
        <v>5.4748744124329118E-3</v>
      </c>
      <c r="G17" s="7">
        <v>5.2442934546365373E-3</v>
      </c>
      <c r="H17" s="7">
        <v>8.4181753990094765E-3</v>
      </c>
      <c r="I17" s="7">
        <v>6.5066042804420264E-3</v>
      </c>
      <c r="J17" s="7">
        <v>6.8673304735182468E-3</v>
      </c>
      <c r="K17" s="7">
        <v>2.4673860554914199E-3</v>
      </c>
      <c r="L17" s="7">
        <v>3.1741946104171508E-3</v>
      </c>
      <c r="M17" s="7">
        <v>7.4562876275936574E-3</v>
      </c>
      <c r="N17" s="7">
        <v>3.5109375163572599E-3</v>
      </c>
      <c r="O17" s="7">
        <v>1.8165350207832196E-2</v>
      </c>
      <c r="P17" s="7">
        <v>9.5048819579589402E-4</v>
      </c>
      <c r="Q17" s="7">
        <v>4.0015712546615052E-3</v>
      </c>
      <c r="R17" s="7">
        <v>2.5378629332827272E-3</v>
      </c>
      <c r="S17" s="7">
        <v>3.5071111909898019E-3</v>
      </c>
      <c r="T17" s="7">
        <v>5.9337857576132877E-3</v>
      </c>
      <c r="U17" s="7">
        <v>5.1917901212123353E-4</v>
      </c>
      <c r="V17" s="7">
        <v>4.368598343219403E-3</v>
      </c>
      <c r="W17" s="7">
        <v>3.6029111530989553E-3</v>
      </c>
      <c r="X17" s="7">
        <v>6.4703172983487768E-3</v>
      </c>
      <c r="Y17" s="7">
        <v>7.308237407426782E-3</v>
      </c>
      <c r="Z17" s="7">
        <v>9.5505128961767324E-3</v>
      </c>
      <c r="AA17" s="7">
        <v>4.7585275602122831E-3</v>
      </c>
      <c r="AB17" s="7">
        <v>3.4943235420989206E-3</v>
      </c>
      <c r="AC17" s="7">
        <v>8.5937677856264515E-3</v>
      </c>
      <c r="AD17" s="7">
        <v>3.5533356355167008E-3</v>
      </c>
      <c r="AF17" s="17">
        <v>3.3368444812851158E-2</v>
      </c>
    </row>
    <row r="18" spans="1:32" x14ac:dyDescent="0.3">
      <c r="A18" s="7">
        <v>9.5663911842571098E-4</v>
      </c>
      <c r="B18" s="7">
        <v>9.1498043128570574E-4</v>
      </c>
      <c r="C18" s="7">
        <v>1.3718704045986197E-3</v>
      </c>
      <c r="D18" s="7">
        <v>1.3673909837570728E-3</v>
      </c>
      <c r="E18" s="7">
        <v>7.4079640794721578E-4</v>
      </c>
      <c r="F18" s="7">
        <v>1.256161736378448E-3</v>
      </c>
      <c r="G18" s="7">
        <v>1.3282523437938068E-3</v>
      </c>
      <c r="H18" s="7">
        <v>1.2334651992766438E-3</v>
      </c>
      <c r="I18" s="7">
        <v>9.1959209453043838E-4</v>
      </c>
      <c r="J18" s="7">
        <v>8.5923951953882052E-4</v>
      </c>
      <c r="K18" s="7">
        <v>4.6821171399265575E-4</v>
      </c>
      <c r="L18" s="7">
        <v>1.5428929525017777E-3</v>
      </c>
      <c r="M18" s="7">
        <v>1.1942598397626527E-3</v>
      </c>
      <c r="N18" s="7">
        <v>7.3399962082955513E-4</v>
      </c>
      <c r="O18" s="7">
        <v>9.5048819579589402E-4</v>
      </c>
      <c r="P18" s="7">
        <v>3.1663608432768893E-3</v>
      </c>
      <c r="Q18" s="7">
        <v>7.2349058388231752E-4</v>
      </c>
      <c r="R18" s="7">
        <v>1.3074073553437551E-3</v>
      </c>
      <c r="S18" s="7">
        <v>2.6767986992444356E-3</v>
      </c>
      <c r="T18" s="7">
        <v>2.1498946558537522E-3</v>
      </c>
      <c r="U18" s="7">
        <v>2.666461224297448E-3</v>
      </c>
      <c r="V18" s="7">
        <v>1.4583967615928691E-3</v>
      </c>
      <c r="W18" s="7">
        <v>1.5320571364968905E-3</v>
      </c>
      <c r="X18" s="7">
        <v>7.6458159160457801E-4</v>
      </c>
      <c r="Y18" s="7">
        <v>1.0907007444992472E-3</v>
      </c>
      <c r="Z18" s="7">
        <v>2.6409200706091563E-3</v>
      </c>
      <c r="AA18" s="7">
        <v>1.5092846948161671E-3</v>
      </c>
      <c r="AB18" s="7">
        <v>1.1267013387991495E-3</v>
      </c>
      <c r="AC18" s="7">
        <v>1.1688517431267371E-3</v>
      </c>
      <c r="AD18" s="7">
        <v>1.0670574801908868E-3</v>
      </c>
      <c r="AF18" s="17">
        <v>8.6763701650059127E-3</v>
      </c>
    </row>
    <row r="19" spans="1:32" x14ac:dyDescent="0.3">
      <c r="A19" s="7">
        <v>1.7106890543973508E-3</v>
      </c>
      <c r="B19" s="7">
        <v>3.6805479521413694E-3</v>
      </c>
      <c r="C19" s="7">
        <v>2.248716332040547E-3</v>
      </c>
      <c r="D19" s="7">
        <v>1.6598474114162232E-3</v>
      </c>
      <c r="E19" s="7">
        <v>1.6846551410446835E-3</v>
      </c>
      <c r="F19" s="7">
        <v>2.0160278874046525E-3</v>
      </c>
      <c r="G19" s="7">
        <v>1.8787506150263855E-3</v>
      </c>
      <c r="H19" s="7">
        <v>2.9454354947826681E-3</v>
      </c>
      <c r="I19" s="7">
        <v>2.6140605673320503E-3</v>
      </c>
      <c r="J19" s="7">
        <v>2.5760837784874527E-3</v>
      </c>
      <c r="K19" s="7">
        <v>1.0946850438657988E-3</v>
      </c>
      <c r="L19" s="7">
        <v>1.1817881621429547E-3</v>
      </c>
      <c r="M19" s="7">
        <v>3.3733384939659233E-3</v>
      </c>
      <c r="N19" s="7">
        <v>9.9650457611702306E-4</v>
      </c>
      <c r="O19" s="7">
        <v>4.0015712546615052E-3</v>
      </c>
      <c r="P19" s="7">
        <v>7.2349058388231752E-4</v>
      </c>
      <c r="Q19" s="7">
        <v>3.938368401358641E-3</v>
      </c>
      <c r="R19" s="7">
        <v>1.2550773916673995E-3</v>
      </c>
      <c r="S19" s="7">
        <v>2.136031324929415E-3</v>
      </c>
      <c r="T19" s="7">
        <v>2.9773394096317186E-3</v>
      </c>
      <c r="U19" s="7">
        <v>6.8672448205785316E-4</v>
      </c>
      <c r="V19" s="7">
        <v>1.9092317195090231E-3</v>
      </c>
      <c r="W19" s="7">
        <v>1.5394907132375291E-3</v>
      </c>
      <c r="X19" s="7">
        <v>2.246363345544798E-3</v>
      </c>
      <c r="Y19" s="7">
        <v>2.2076070109520009E-3</v>
      </c>
      <c r="Z19" s="7">
        <v>3.4135789223413088E-3</v>
      </c>
      <c r="AA19" s="7">
        <v>1.7709192772974896E-3</v>
      </c>
      <c r="AB19" s="7">
        <v>1.4424001746347621E-3</v>
      </c>
      <c r="AC19" s="7">
        <v>3.6490151467188409E-3</v>
      </c>
      <c r="AD19" s="7">
        <v>1.1019884486609215E-3</v>
      </c>
      <c r="AF19" s="17">
        <v>6.7143675275954376E-3</v>
      </c>
    </row>
    <row r="20" spans="1:32" x14ac:dyDescent="0.3">
      <c r="A20" s="7">
        <v>7.5069491414041809E-4</v>
      </c>
      <c r="B20" s="7">
        <v>2.4866604870511341E-3</v>
      </c>
      <c r="C20" s="7">
        <v>3.226059817276091E-4</v>
      </c>
      <c r="D20" s="7">
        <v>2.1514188194490576E-3</v>
      </c>
      <c r="E20" s="7">
        <v>1.9882333282531233E-3</v>
      </c>
      <c r="F20" s="7">
        <v>1.4585693144848818E-3</v>
      </c>
      <c r="G20" s="7">
        <v>1.2838844712973539E-3</v>
      </c>
      <c r="H20" s="7">
        <v>2.1007910609101357E-3</v>
      </c>
      <c r="I20" s="7">
        <v>1.781831350892405E-3</v>
      </c>
      <c r="J20" s="7">
        <v>1.7594147884001912E-3</v>
      </c>
      <c r="K20" s="7">
        <v>3.9425266804311415E-4</v>
      </c>
      <c r="L20" s="7">
        <v>1.1581105256286452E-3</v>
      </c>
      <c r="M20" s="7">
        <v>2.5994978103856263E-3</v>
      </c>
      <c r="N20" s="7">
        <v>1.6261601038383665E-3</v>
      </c>
      <c r="O20" s="7">
        <v>2.5378629332827272E-3</v>
      </c>
      <c r="P20" s="7">
        <v>1.3074073553437551E-3</v>
      </c>
      <c r="Q20" s="7">
        <v>1.2550773916673995E-3</v>
      </c>
      <c r="R20" s="7">
        <v>2.9217116030641221E-3</v>
      </c>
      <c r="S20" s="7">
        <v>1.5047797555727143E-3</v>
      </c>
      <c r="T20" s="7">
        <v>2.4581260570050696E-3</v>
      </c>
      <c r="U20" s="7">
        <v>8.2752979072917249E-4</v>
      </c>
      <c r="V20" s="7">
        <v>1.9202569084776344E-3</v>
      </c>
      <c r="W20" s="7">
        <v>1.2609179485031073E-3</v>
      </c>
      <c r="X20" s="7">
        <v>1.5964286575237427E-3</v>
      </c>
      <c r="Y20" s="7">
        <v>2.0593967819088742E-3</v>
      </c>
      <c r="Z20" s="7">
        <v>3.3599849397208921E-3</v>
      </c>
      <c r="AA20" s="7">
        <v>1.9828600022248162E-3</v>
      </c>
      <c r="AB20" s="7">
        <v>1.799994526404607E-3</v>
      </c>
      <c r="AC20" s="7">
        <v>2.9647709316486309E-3</v>
      </c>
      <c r="AD20" s="7">
        <v>2.0597365548397223E-3</v>
      </c>
      <c r="AF20" s="17">
        <v>9.9157211126981865E-3</v>
      </c>
    </row>
    <row r="21" spans="1:32" x14ac:dyDescent="0.3">
      <c r="A21" s="7">
        <v>2.3600057710029226E-3</v>
      </c>
      <c r="B21" s="7">
        <v>3.5356993719671717E-3</v>
      </c>
      <c r="C21" s="7">
        <v>3.5574189684292861E-3</v>
      </c>
      <c r="D21" s="7">
        <v>2.3283317584243965E-3</v>
      </c>
      <c r="E21" s="7">
        <v>1.7814822223195244E-3</v>
      </c>
      <c r="F21" s="7">
        <v>2.1326924895178215E-3</v>
      </c>
      <c r="G21" s="7">
        <v>1.8889522172047873E-3</v>
      </c>
      <c r="H21" s="7">
        <v>2.3514714687813362E-3</v>
      </c>
      <c r="I21" s="7">
        <v>3.0430986503302989E-3</v>
      </c>
      <c r="J21" s="7">
        <v>1.7408268119949489E-3</v>
      </c>
      <c r="K21" s="7">
        <v>1.4525177412502367E-3</v>
      </c>
      <c r="L21" s="7">
        <v>2.5763689999021453E-3</v>
      </c>
      <c r="M21" s="7">
        <v>3.8336732478234455E-3</v>
      </c>
      <c r="N21" s="7">
        <v>1.5213014232857204E-3</v>
      </c>
      <c r="O21" s="7">
        <v>3.5071111909898019E-3</v>
      </c>
      <c r="P21" s="7">
        <v>2.6767986992444356E-3</v>
      </c>
      <c r="Q21" s="7">
        <v>2.136031324929415E-3</v>
      </c>
      <c r="R21" s="7">
        <v>1.5047797555727143E-3</v>
      </c>
      <c r="S21" s="7">
        <v>1.2888134866958506E-2</v>
      </c>
      <c r="T21" s="7">
        <v>3.4395232916836602E-3</v>
      </c>
      <c r="U21" s="7">
        <v>2.2450227329039638E-3</v>
      </c>
      <c r="V21" s="7">
        <v>3.011629779659142E-3</v>
      </c>
      <c r="W21" s="7">
        <v>6.1282675731933623E-3</v>
      </c>
      <c r="X21" s="7">
        <v>2.0081343310658839E-3</v>
      </c>
      <c r="Y21" s="7">
        <v>2.5387215223536754E-3</v>
      </c>
      <c r="Z21" s="7">
        <v>4.8526969615829869E-3</v>
      </c>
      <c r="AA21" s="7">
        <v>1.5732357858247062E-3</v>
      </c>
      <c r="AB21" s="7">
        <v>1.1693750823786508E-3</v>
      </c>
      <c r="AC21" s="7">
        <v>4.4933947567624899E-3</v>
      </c>
      <c r="AD21" s="7">
        <v>1.5867521630024619E-3</v>
      </c>
      <c r="AF21" s="17">
        <v>4.7818605397556514E-3</v>
      </c>
    </row>
    <row r="22" spans="1:32" x14ac:dyDescent="0.3">
      <c r="A22" s="7">
        <v>1.9746867900729162E-3</v>
      </c>
      <c r="B22" s="7">
        <v>5.8567620889917087E-3</v>
      </c>
      <c r="C22" s="7">
        <v>3.5197411452386287E-3</v>
      </c>
      <c r="D22" s="7">
        <v>2.8244740356994169E-3</v>
      </c>
      <c r="E22" s="7">
        <v>4.3933039776248017E-3</v>
      </c>
      <c r="F22" s="7">
        <v>3.7813528018831965E-3</v>
      </c>
      <c r="G22" s="7">
        <v>3.0641686413297848E-3</v>
      </c>
      <c r="H22" s="7">
        <v>5.4325618721016728E-3</v>
      </c>
      <c r="I22" s="7">
        <v>5.2861214984274724E-3</v>
      </c>
      <c r="J22" s="7">
        <v>4.4139992540125827E-3</v>
      </c>
      <c r="K22" s="7">
        <v>2.1147813110168354E-4</v>
      </c>
      <c r="L22" s="7">
        <v>3.4229565698009798E-3</v>
      </c>
      <c r="M22" s="7">
        <v>6.0660657247355032E-3</v>
      </c>
      <c r="N22" s="7">
        <v>2.6268597763200252E-3</v>
      </c>
      <c r="O22" s="7">
        <v>5.9337857576132877E-3</v>
      </c>
      <c r="P22" s="7">
        <v>2.1498946558537522E-3</v>
      </c>
      <c r="Q22" s="7">
        <v>2.9773394096317186E-3</v>
      </c>
      <c r="R22" s="7">
        <v>2.4581260570050696E-3</v>
      </c>
      <c r="S22" s="7">
        <v>3.4395232916836602E-3</v>
      </c>
      <c r="T22" s="7">
        <v>9.4303389923153166E-3</v>
      </c>
      <c r="U22" s="7">
        <v>1.0815715321988073E-3</v>
      </c>
      <c r="V22" s="7">
        <v>2.9038671774632156E-3</v>
      </c>
      <c r="W22" s="7">
        <v>2.1075608953974199E-3</v>
      </c>
      <c r="X22" s="7">
        <v>4.6770011115462298E-3</v>
      </c>
      <c r="Y22" s="7">
        <v>5.8290088539069132E-3</v>
      </c>
      <c r="Z22" s="7">
        <v>9.2204128091659694E-3</v>
      </c>
      <c r="AA22" s="7">
        <v>4.2628225954180546E-3</v>
      </c>
      <c r="AB22" s="7">
        <v>3.9106853215895498E-3</v>
      </c>
      <c r="AC22" s="7">
        <v>8.09599442702553E-3</v>
      </c>
      <c r="AD22" s="7">
        <v>4.0311611390987882E-3</v>
      </c>
      <c r="AF22" s="17">
        <v>1.2239979045882679E-2</v>
      </c>
    </row>
    <row r="23" spans="1:32" x14ac:dyDescent="0.3">
      <c r="A23" s="7">
        <v>6.9123639118671162E-4</v>
      </c>
      <c r="B23" s="7">
        <v>3.6586966277002073E-4</v>
      </c>
      <c r="C23" s="7">
        <v>9.1615708699997788E-4</v>
      </c>
      <c r="D23" s="7">
        <v>5.7732531805224823E-4</v>
      </c>
      <c r="E23" s="7">
        <v>6.699546072629581E-5</v>
      </c>
      <c r="F23" s="7">
        <v>9.4322029082712718E-4</v>
      </c>
      <c r="G23" s="7">
        <v>6.5361274837922798E-4</v>
      </c>
      <c r="H23" s="7">
        <v>4.8357813194424256E-4</v>
      </c>
      <c r="I23" s="7">
        <v>1.0389046466522409E-3</v>
      </c>
      <c r="J23" s="7">
        <v>4.4372076386075079E-4</v>
      </c>
      <c r="K23" s="7">
        <v>6.3345055165224323E-4</v>
      </c>
      <c r="L23" s="7">
        <v>1.1693402275278061E-3</v>
      </c>
      <c r="M23" s="7">
        <v>4.2265971299996845E-4</v>
      </c>
      <c r="N23" s="7">
        <v>4.3080250768179589E-4</v>
      </c>
      <c r="O23" s="7">
        <v>5.1917901212123353E-4</v>
      </c>
      <c r="P23" s="7">
        <v>2.666461224297448E-3</v>
      </c>
      <c r="Q23" s="7">
        <v>6.8672448205785316E-4</v>
      </c>
      <c r="R23" s="7">
        <v>8.2752979072917249E-4</v>
      </c>
      <c r="S23" s="7">
        <v>2.2450227329039638E-3</v>
      </c>
      <c r="T23" s="7">
        <v>1.0815715321988073E-3</v>
      </c>
      <c r="U23" s="7">
        <v>3.6183920007446723E-3</v>
      </c>
      <c r="V23" s="7">
        <v>8.9614116328063352E-4</v>
      </c>
      <c r="W23" s="7">
        <v>1.1718918157301195E-3</v>
      </c>
      <c r="X23" s="7">
        <v>4.170572621284721E-5</v>
      </c>
      <c r="Y23" s="7">
        <v>7.4693325834822115E-4</v>
      </c>
      <c r="Z23" s="7">
        <v>1.4981300761684995E-3</v>
      </c>
      <c r="AA23" s="7">
        <v>1.0581443212937024E-3</v>
      </c>
      <c r="AB23" s="7">
        <v>5.6210738185387236E-4</v>
      </c>
      <c r="AC23" s="7">
        <v>8.7168276341616127E-4</v>
      </c>
      <c r="AD23" s="7">
        <v>3.9533756765283229E-4</v>
      </c>
      <c r="AF23" s="17">
        <v>7.5572808797761629E-3</v>
      </c>
    </row>
    <row r="24" spans="1:32" x14ac:dyDescent="0.3">
      <c r="A24" s="7">
        <v>1.8120435642693046E-3</v>
      </c>
      <c r="B24" s="7">
        <v>2.4795458881906396E-3</v>
      </c>
      <c r="C24" s="7">
        <v>2.383582057335847E-3</v>
      </c>
      <c r="D24" s="7">
        <v>3.1450387477968919E-3</v>
      </c>
      <c r="E24" s="7">
        <v>2.1479629930577066E-3</v>
      </c>
      <c r="F24" s="7">
        <v>2.5906351181880869E-3</v>
      </c>
      <c r="G24" s="7">
        <v>2.4117110190098648E-3</v>
      </c>
      <c r="H24" s="7">
        <v>3.1293529022805547E-3</v>
      </c>
      <c r="I24" s="7">
        <v>3.0980845852455665E-3</v>
      </c>
      <c r="J24" s="7">
        <v>2.607118829770062E-3</v>
      </c>
      <c r="K24" s="7">
        <v>1.5641899231816977E-3</v>
      </c>
      <c r="L24" s="7">
        <v>1.4423513431174255E-3</v>
      </c>
      <c r="M24" s="7">
        <v>2.7390410031274256E-3</v>
      </c>
      <c r="N24" s="7">
        <v>2.4280857864644079E-3</v>
      </c>
      <c r="O24" s="7">
        <v>4.368598343219403E-3</v>
      </c>
      <c r="P24" s="7">
        <v>1.4583967615928691E-3</v>
      </c>
      <c r="Q24" s="7">
        <v>1.9092317195090231E-3</v>
      </c>
      <c r="R24" s="7">
        <v>1.9202569084776344E-3</v>
      </c>
      <c r="S24" s="7">
        <v>3.011629779659142E-3</v>
      </c>
      <c r="T24" s="7">
        <v>2.9038671774632156E-3</v>
      </c>
      <c r="U24" s="7">
        <v>8.9614116328063352E-4</v>
      </c>
      <c r="V24" s="7">
        <v>5.3473114548986712E-3</v>
      </c>
      <c r="W24" s="7">
        <v>1.9778414199021258E-3</v>
      </c>
      <c r="X24" s="7">
        <v>2.6422451154458288E-3</v>
      </c>
      <c r="Y24" s="7">
        <v>3.1655166652587948E-3</v>
      </c>
      <c r="Z24" s="7">
        <v>5.5010915080669839E-3</v>
      </c>
      <c r="AA24" s="7">
        <v>9.9215318143982124E-4</v>
      </c>
      <c r="AB24" s="7">
        <v>1.5667997093260617E-3</v>
      </c>
      <c r="AC24" s="7">
        <v>3.0982851073354783E-3</v>
      </c>
      <c r="AD24" s="7">
        <v>1.753049383319066E-3</v>
      </c>
      <c r="AF24" s="17">
        <v>-6.1493094837483642E-4</v>
      </c>
    </row>
    <row r="25" spans="1:32" x14ac:dyDescent="0.3">
      <c r="A25" s="7">
        <v>1.1540966804552302E-3</v>
      </c>
      <c r="B25" s="7">
        <v>4.079671421913348E-3</v>
      </c>
      <c r="C25" s="7">
        <v>2.1702026703433659E-3</v>
      </c>
      <c r="D25" s="7">
        <v>2.0817894334128162E-3</v>
      </c>
      <c r="E25" s="7">
        <v>1.5724590754507776E-3</v>
      </c>
      <c r="F25" s="7">
        <v>1.7420497678581025E-3</v>
      </c>
      <c r="G25" s="7">
        <v>1.5025559409206277E-3</v>
      </c>
      <c r="H25" s="7">
        <v>2.2664922543573214E-3</v>
      </c>
      <c r="I25" s="7">
        <v>1.357927401447869E-3</v>
      </c>
      <c r="J25" s="7">
        <v>1.8723169695680584E-3</v>
      </c>
      <c r="K25" s="7">
        <v>7.9161824507771193E-4</v>
      </c>
      <c r="L25" s="7">
        <v>9.2414605387061872E-4</v>
      </c>
      <c r="M25" s="7">
        <v>3.8898734855652571E-3</v>
      </c>
      <c r="N25" s="7">
        <v>5.9247078761677941E-4</v>
      </c>
      <c r="O25" s="7">
        <v>3.6029111530989553E-3</v>
      </c>
      <c r="P25" s="7">
        <v>1.5320571364968905E-3</v>
      </c>
      <c r="Q25" s="7">
        <v>1.5394907132375291E-3</v>
      </c>
      <c r="R25" s="7">
        <v>1.2609179485031073E-3</v>
      </c>
      <c r="S25" s="7">
        <v>6.1282675731933623E-3</v>
      </c>
      <c r="T25" s="7">
        <v>2.1075608953974199E-3</v>
      </c>
      <c r="U25" s="7">
        <v>1.1718918157301195E-3</v>
      </c>
      <c r="V25" s="7">
        <v>1.9778414199021258E-3</v>
      </c>
      <c r="W25" s="7">
        <v>5.5802055211083132E-3</v>
      </c>
      <c r="X25" s="7">
        <v>1.3701539089596667E-3</v>
      </c>
      <c r="Y25" s="7">
        <v>1.4424883990414659E-3</v>
      </c>
      <c r="Z25" s="7">
        <v>2.9104991939697721E-3</v>
      </c>
      <c r="AA25" s="7">
        <v>8.157273777875426E-4</v>
      </c>
      <c r="AB25" s="7">
        <v>8.890399363504581E-4</v>
      </c>
      <c r="AC25" s="7">
        <v>2.6087588950979229E-3</v>
      </c>
      <c r="AD25" s="7">
        <v>1.2751995956839705E-3</v>
      </c>
      <c r="AF25" s="17">
        <v>-2.6173178187012709E-3</v>
      </c>
    </row>
    <row r="26" spans="1:32" x14ac:dyDescent="0.3">
      <c r="A26" s="7">
        <v>1.9433031419644308E-3</v>
      </c>
      <c r="B26" s="7">
        <v>5.7026644189779093E-3</v>
      </c>
      <c r="C26" s="7">
        <v>3.4629976578599213E-3</v>
      </c>
      <c r="D26" s="7">
        <v>3.0891143466083063E-3</v>
      </c>
      <c r="E26" s="7">
        <v>4.152081607538001E-3</v>
      </c>
      <c r="F26" s="7">
        <v>3.7514856395148804E-3</v>
      </c>
      <c r="G26" s="7">
        <v>3.6074959413396859E-3</v>
      </c>
      <c r="H26" s="7">
        <v>5.9218241703404258E-3</v>
      </c>
      <c r="I26" s="7">
        <v>5.0814341261584796E-3</v>
      </c>
      <c r="J26" s="7">
        <v>5.2553467810551096E-3</v>
      </c>
      <c r="K26" s="7">
        <v>-1.6543932340645803E-4</v>
      </c>
      <c r="L26" s="7">
        <v>2.4335330278885841E-3</v>
      </c>
      <c r="M26" s="7">
        <v>5.8259637419216534E-3</v>
      </c>
      <c r="N26" s="7">
        <v>2.6978319876377523E-3</v>
      </c>
      <c r="O26" s="7">
        <v>6.4703172983487768E-3</v>
      </c>
      <c r="P26" s="7">
        <v>7.6458159160457801E-4</v>
      </c>
      <c r="Q26" s="7">
        <v>2.246363345544798E-3</v>
      </c>
      <c r="R26" s="7">
        <v>1.5964286575237427E-3</v>
      </c>
      <c r="S26" s="7">
        <v>2.0081343310658839E-3</v>
      </c>
      <c r="T26" s="7">
        <v>4.6770011115462298E-3</v>
      </c>
      <c r="U26" s="7">
        <v>4.170572621284721E-5</v>
      </c>
      <c r="V26" s="7">
        <v>2.6422451154458288E-3</v>
      </c>
      <c r="W26" s="7">
        <v>1.3701539089596667E-3</v>
      </c>
      <c r="X26" s="7">
        <v>5.7848069594524775E-3</v>
      </c>
      <c r="Y26" s="7">
        <v>5.3151006263331716E-3</v>
      </c>
      <c r="Z26" s="7">
        <v>7.5542530621858471E-3</v>
      </c>
      <c r="AA26" s="7">
        <v>2.1349115809638996E-3</v>
      </c>
      <c r="AB26" s="7">
        <v>3.1333846356201888E-3</v>
      </c>
      <c r="AC26" s="7">
        <v>6.7893213556988923E-3</v>
      </c>
      <c r="AD26" s="7">
        <v>3.2585599076153365E-3</v>
      </c>
      <c r="AF26" s="17">
        <v>-1.5585568749412599E-3</v>
      </c>
    </row>
    <row r="27" spans="1:32" x14ac:dyDescent="0.3">
      <c r="A27" s="7">
        <v>1.7364539456058284E-3</v>
      </c>
      <c r="B27" s="7">
        <v>6.3819744071839535E-3</v>
      </c>
      <c r="C27" s="7">
        <v>2.1866615723753527E-3</v>
      </c>
      <c r="D27" s="7">
        <v>2.8444248987025507E-3</v>
      </c>
      <c r="E27" s="7">
        <v>4.3127698574231292E-3</v>
      </c>
      <c r="F27" s="7">
        <v>4.1789886878068555E-3</v>
      </c>
      <c r="G27" s="7">
        <v>3.2591024138710267E-3</v>
      </c>
      <c r="H27" s="7">
        <v>7.3302384046999413E-3</v>
      </c>
      <c r="I27" s="7">
        <v>6.9452665682849524E-3</v>
      </c>
      <c r="J27" s="7">
        <v>5.97724779836216E-3</v>
      </c>
      <c r="K27" s="7">
        <v>5.3610085630297413E-4</v>
      </c>
      <c r="L27" s="7">
        <v>3.1748469422523099E-3</v>
      </c>
      <c r="M27" s="7">
        <v>6.5849640930353021E-3</v>
      </c>
      <c r="N27" s="7">
        <v>3.8927745877437949E-3</v>
      </c>
      <c r="O27" s="7">
        <v>7.308237407426782E-3</v>
      </c>
      <c r="P27" s="7">
        <v>1.0907007444992472E-3</v>
      </c>
      <c r="Q27" s="7">
        <v>2.2076070109520009E-3</v>
      </c>
      <c r="R27" s="7">
        <v>2.0593967819088742E-3</v>
      </c>
      <c r="S27" s="7">
        <v>2.5387215223536754E-3</v>
      </c>
      <c r="T27" s="7">
        <v>5.8290088539069132E-3</v>
      </c>
      <c r="U27" s="7">
        <v>7.4693325834822115E-4</v>
      </c>
      <c r="V27" s="7">
        <v>3.1655166652587948E-3</v>
      </c>
      <c r="W27" s="7">
        <v>1.4424883990414659E-3</v>
      </c>
      <c r="X27" s="7">
        <v>5.3151006263331716E-3</v>
      </c>
      <c r="Y27" s="7">
        <v>8.845875820474091E-3</v>
      </c>
      <c r="Z27" s="7">
        <v>1.0617560828778509E-2</v>
      </c>
      <c r="AA27" s="7">
        <v>2.9681305218098122E-3</v>
      </c>
      <c r="AB27" s="7">
        <v>3.5274560754207668E-3</v>
      </c>
      <c r="AC27" s="7">
        <v>8.3055228717136553E-3</v>
      </c>
      <c r="AD27" s="7">
        <v>3.8116290986035268E-3</v>
      </c>
      <c r="AF27" s="17">
        <v>-7.798403172385969E-3</v>
      </c>
    </row>
    <row r="28" spans="1:32" x14ac:dyDescent="0.3">
      <c r="A28" s="7">
        <v>3.1166687133878487E-3</v>
      </c>
      <c r="B28" s="7">
        <v>9.1378892663955182E-3</v>
      </c>
      <c r="C28" s="7">
        <v>4.9178305202009481E-3</v>
      </c>
      <c r="D28" s="7">
        <v>4.8142831983273814E-3</v>
      </c>
      <c r="E28" s="7">
        <v>6.0680443552748155E-3</v>
      </c>
      <c r="F28" s="7">
        <v>6.0890993093112569E-3</v>
      </c>
      <c r="G28" s="7">
        <v>6.1668034523249451E-3</v>
      </c>
      <c r="H28" s="7">
        <v>9.5449616457973993E-3</v>
      </c>
      <c r="I28" s="7">
        <v>1.0101437266593322E-2</v>
      </c>
      <c r="J28" s="7">
        <v>7.47245834343739E-3</v>
      </c>
      <c r="K28" s="7">
        <v>7.32360345164446E-4</v>
      </c>
      <c r="L28" s="7">
        <v>5.6740114408066469E-3</v>
      </c>
      <c r="M28" s="7">
        <v>9.916240560862731E-3</v>
      </c>
      <c r="N28" s="7">
        <v>5.6212203663312558E-3</v>
      </c>
      <c r="O28" s="7">
        <v>9.5505128961767324E-3</v>
      </c>
      <c r="P28" s="7">
        <v>2.6409200706091563E-3</v>
      </c>
      <c r="Q28" s="7">
        <v>3.4135789223413088E-3</v>
      </c>
      <c r="R28" s="7">
        <v>3.3599849397208921E-3</v>
      </c>
      <c r="S28" s="7">
        <v>4.8526969615829869E-3</v>
      </c>
      <c r="T28" s="7">
        <v>9.2204128091659694E-3</v>
      </c>
      <c r="U28" s="7">
        <v>1.4981300761684995E-3</v>
      </c>
      <c r="V28" s="7">
        <v>5.5010915080669839E-3</v>
      </c>
      <c r="W28" s="7">
        <v>2.9104991939697721E-3</v>
      </c>
      <c r="X28" s="7">
        <v>7.5542530621858471E-3</v>
      </c>
      <c r="Y28" s="7">
        <v>1.0617560828778509E-2</v>
      </c>
      <c r="Z28" s="7">
        <v>2.2541525873213404E-2</v>
      </c>
      <c r="AA28" s="7">
        <v>5.1118762411525766E-3</v>
      </c>
      <c r="AB28" s="7">
        <v>4.8249493302462846E-3</v>
      </c>
      <c r="AC28" s="7">
        <v>1.228236899167395E-2</v>
      </c>
      <c r="AD28" s="7">
        <v>5.7117479602501508E-3</v>
      </c>
      <c r="AF28" s="17">
        <v>-7.519232637903564E-3</v>
      </c>
    </row>
    <row r="29" spans="1:32" x14ac:dyDescent="0.3">
      <c r="A29" s="7">
        <v>1.2086178531878398E-3</v>
      </c>
      <c r="B29" s="7">
        <v>1.8429309718483217E-3</v>
      </c>
      <c r="C29" s="7">
        <v>9.6081333470328151E-4</v>
      </c>
      <c r="D29" s="7">
        <v>1.7458317327857494E-3</v>
      </c>
      <c r="E29" s="7">
        <v>1.4847253270266073E-3</v>
      </c>
      <c r="F29" s="7">
        <v>1.4256780993732307E-3</v>
      </c>
      <c r="G29" s="7">
        <v>1.5463198460653528E-3</v>
      </c>
      <c r="H29" s="7">
        <v>2.4419870474809884E-3</v>
      </c>
      <c r="I29" s="7">
        <v>2.4204257927906091E-3</v>
      </c>
      <c r="J29" s="7">
        <v>1.7451344782734191E-3</v>
      </c>
      <c r="K29" s="7">
        <v>5.3308099379059241E-5</v>
      </c>
      <c r="L29" s="7">
        <v>2.5594237623329276E-3</v>
      </c>
      <c r="M29" s="7">
        <v>1.9567430279687588E-3</v>
      </c>
      <c r="N29" s="7">
        <v>4.0846774786940268E-5</v>
      </c>
      <c r="O29" s="7">
        <v>4.7585275602122831E-3</v>
      </c>
      <c r="P29" s="7">
        <v>1.5092846948161671E-3</v>
      </c>
      <c r="Q29" s="7">
        <v>1.7709192772974896E-3</v>
      </c>
      <c r="R29" s="7">
        <v>1.9828600022248162E-3</v>
      </c>
      <c r="S29" s="7">
        <v>1.5732357858247062E-3</v>
      </c>
      <c r="T29" s="7">
        <v>4.2628225954180546E-3</v>
      </c>
      <c r="U29" s="7">
        <v>1.0581443212937024E-3</v>
      </c>
      <c r="V29" s="7">
        <v>9.9215318143982124E-4</v>
      </c>
      <c r="W29" s="7">
        <v>8.157273777875426E-4</v>
      </c>
      <c r="X29" s="7">
        <v>2.1349115809638996E-3</v>
      </c>
      <c r="Y29" s="7">
        <v>2.9681305218098122E-3</v>
      </c>
      <c r="Z29" s="7">
        <v>5.1118762411525766E-3</v>
      </c>
      <c r="AA29" s="7">
        <v>7.2960460110875957E-3</v>
      </c>
      <c r="AB29" s="7">
        <v>1.5141978433297382E-3</v>
      </c>
      <c r="AC29" s="7">
        <v>2.5546954984916122E-3</v>
      </c>
      <c r="AD29" s="7">
        <v>1.5857163312660524E-3</v>
      </c>
      <c r="AF29" s="17">
        <v>2.1610757701367812E-2</v>
      </c>
    </row>
    <row r="30" spans="1:32" x14ac:dyDescent="0.3">
      <c r="A30" s="7">
        <v>1.45606915048578E-3</v>
      </c>
      <c r="B30" s="7">
        <v>3.8822071295009919E-3</v>
      </c>
      <c r="C30" s="7">
        <v>1.2000365374160071E-3</v>
      </c>
      <c r="D30" s="7">
        <v>2.4646757360674873E-3</v>
      </c>
      <c r="E30" s="7">
        <v>3.7248298520269601E-3</v>
      </c>
      <c r="F30" s="7">
        <v>2.6759469374499113E-3</v>
      </c>
      <c r="G30" s="7">
        <v>2.1373962145003439E-3</v>
      </c>
      <c r="H30" s="7">
        <v>4.0922765559085819E-3</v>
      </c>
      <c r="I30" s="7">
        <v>3.2471699592072486E-3</v>
      </c>
      <c r="J30" s="7">
        <v>3.5296212393389585E-3</v>
      </c>
      <c r="K30" s="7">
        <v>-1.9414786655893706E-4</v>
      </c>
      <c r="L30" s="7">
        <v>1.9187205928992974E-3</v>
      </c>
      <c r="M30" s="7">
        <v>4.0589330120773051E-3</v>
      </c>
      <c r="N30" s="7">
        <v>1.8860732537281846E-3</v>
      </c>
      <c r="O30" s="7">
        <v>3.4943235420989206E-3</v>
      </c>
      <c r="P30" s="7">
        <v>1.1267013387991495E-3</v>
      </c>
      <c r="Q30" s="7">
        <v>1.4424001746347621E-3</v>
      </c>
      <c r="R30" s="7">
        <v>1.799994526404607E-3</v>
      </c>
      <c r="S30" s="7">
        <v>1.1693750823786508E-3</v>
      </c>
      <c r="T30" s="7">
        <v>3.9106853215895498E-3</v>
      </c>
      <c r="U30" s="7">
        <v>5.6210738185387236E-4</v>
      </c>
      <c r="V30" s="7">
        <v>1.5667997093260617E-3</v>
      </c>
      <c r="W30" s="7">
        <v>8.890399363504581E-4</v>
      </c>
      <c r="X30" s="7">
        <v>3.1333846356201888E-3</v>
      </c>
      <c r="Y30" s="7">
        <v>3.5274560754207668E-3</v>
      </c>
      <c r="Z30" s="7">
        <v>4.8249493302462846E-3</v>
      </c>
      <c r="AA30" s="7">
        <v>1.5141978433297382E-3</v>
      </c>
      <c r="AB30" s="7">
        <v>4.1593914991968958E-3</v>
      </c>
      <c r="AC30" s="7">
        <v>4.9176475035715445E-3</v>
      </c>
      <c r="AD30" s="7">
        <v>3.1936903995830579E-3</v>
      </c>
      <c r="AF30" s="17">
        <v>5.2997146708404106E-3</v>
      </c>
    </row>
    <row r="31" spans="1:32" x14ac:dyDescent="0.3">
      <c r="A31" s="7">
        <v>1.943169167651723E-3</v>
      </c>
      <c r="B31" s="7">
        <v>9.8298896391867934E-3</v>
      </c>
      <c r="C31" s="7">
        <v>6.5757909781266445E-3</v>
      </c>
      <c r="D31" s="7">
        <v>3.9696606660632617E-3</v>
      </c>
      <c r="E31" s="7">
        <v>6.0345769317669091E-3</v>
      </c>
      <c r="F31" s="7">
        <v>5.6207532036572768E-3</v>
      </c>
      <c r="G31" s="7">
        <v>4.1293042885421497E-3</v>
      </c>
      <c r="H31" s="7">
        <v>8.1996098382163471E-3</v>
      </c>
      <c r="I31" s="7">
        <v>7.2734508141150409E-3</v>
      </c>
      <c r="J31" s="7">
        <v>6.6485223847282809E-3</v>
      </c>
      <c r="K31" s="7">
        <v>1.364033267883327E-3</v>
      </c>
      <c r="L31" s="7">
        <v>3.1953062542965011E-3</v>
      </c>
      <c r="M31" s="7">
        <v>9.7287475102999978E-3</v>
      </c>
      <c r="N31" s="7">
        <v>3.4699044142861403E-3</v>
      </c>
      <c r="O31" s="7">
        <v>8.5937677856264515E-3</v>
      </c>
      <c r="P31" s="7">
        <v>1.1688517431267371E-3</v>
      </c>
      <c r="Q31" s="7">
        <v>3.6490151467188409E-3</v>
      </c>
      <c r="R31" s="7">
        <v>2.9647709316486309E-3</v>
      </c>
      <c r="S31" s="7">
        <v>4.4933947567624899E-3</v>
      </c>
      <c r="T31" s="7">
        <v>8.09599442702553E-3</v>
      </c>
      <c r="U31" s="7">
        <v>8.7168276341616127E-4</v>
      </c>
      <c r="V31" s="7">
        <v>3.0982851073354783E-3</v>
      </c>
      <c r="W31" s="7">
        <v>2.6087588950979229E-3</v>
      </c>
      <c r="X31" s="7">
        <v>6.7893213556988923E-3</v>
      </c>
      <c r="Y31" s="7">
        <v>8.3055228717136553E-3</v>
      </c>
      <c r="Z31" s="7">
        <v>1.228236899167395E-2</v>
      </c>
      <c r="AA31" s="7">
        <v>2.5546954984916122E-3</v>
      </c>
      <c r="AB31" s="7">
        <v>4.9176475035715445E-3</v>
      </c>
      <c r="AC31" s="7">
        <v>1.9090064164384024E-2</v>
      </c>
      <c r="AD31" s="7">
        <v>6.0393870610203635E-3</v>
      </c>
      <c r="AF31" s="17">
        <v>-9.5495114311798957E-3</v>
      </c>
    </row>
    <row r="32" spans="1:32" x14ac:dyDescent="0.3">
      <c r="A32" s="7">
        <v>1.1921210953154448E-3</v>
      </c>
      <c r="B32" s="7">
        <v>4.0714430304877522E-3</v>
      </c>
      <c r="C32" s="7">
        <v>1.6728491358270921E-3</v>
      </c>
      <c r="D32" s="7">
        <v>2.2365143836244402E-3</v>
      </c>
      <c r="E32" s="7">
        <v>3.843056397417386E-3</v>
      </c>
      <c r="F32" s="7">
        <v>2.3313656336295106E-3</v>
      </c>
      <c r="G32" s="7">
        <v>2.5722249157352712E-3</v>
      </c>
      <c r="H32" s="7">
        <v>3.9883344027427329E-3</v>
      </c>
      <c r="I32" s="7">
        <v>2.8729765487115369E-3</v>
      </c>
      <c r="J32" s="7">
        <v>3.5670421177579005E-3</v>
      </c>
      <c r="K32" s="7">
        <v>-1.7422386638884697E-4</v>
      </c>
      <c r="L32" s="7">
        <v>2.0298015012944434E-3</v>
      </c>
      <c r="M32" s="7">
        <v>4.417252691005142E-3</v>
      </c>
      <c r="N32" s="7">
        <v>1.9538420122091745E-3</v>
      </c>
      <c r="O32" s="7">
        <v>3.5533356355167008E-3</v>
      </c>
      <c r="P32" s="7">
        <v>1.0670574801908868E-3</v>
      </c>
      <c r="Q32" s="7">
        <v>1.1019884486609215E-3</v>
      </c>
      <c r="R32" s="7">
        <v>2.0597365548397223E-3</v>
      </c>
      <c r="S32" s="7">
        <v>1.5867521630024619E-3</v>
      </c>
      <c r="T32" s="7">
        <v>4.0311611390987882E-3</v>
      </c>
      <c r="U32" s="7">
        <v>3.9533756765283229E-4</v>
      </c>
      <c r="V32" s="7">
        <v>1.753049383319066E-3</v>
      </c>
      <c r="W32" s="7">
        <v>1.2751995956839705E-3</v>
      </c>
      <c r="X32" s="7">
        <v>3.2585599076153365E-3</v>
      </c>
      <c r="Y32" s="7">
        <v>3.8116290986035268E-3</v>
      </c>
      <c r="Z32" s="7">
        <v>5.7117479602501508E-3</v>
      </c>
      <c r="AA32" s="7">
        <v>1.5857163312660524E-3</v>
      </c>
      <c r="AB32" s="7">
        <v>3.1936903995830579E-3</v>
      </c>
      <c r="AC32" s="7">
        <v>6.0393870610203635E-3</v>
      </c>
      <c r="AD32" s="7">
        <v>4.2711793497885436E-3</v>
      </c>
      <c r="AF32" s="17">
        <v>3.9425184826952812E-3</v>
      </c>
    </row>
    <row r="33" spans="1:31" ht="14.5" thickBot="1" x14ac:dyDescent="0.35"/>
    <row r="34" spans="1:31" ht="14.5" thickBot="1" x14ac:dyDescent="0.35">
      <c r="A34" s="17" t="s">
        <v>112</v>
      </c>
      <c r="B34" s="62">
        <v>-4.0000000000000001E-3</v>
      </c>
      <c r="C34" s="60" t="s">
        <v>146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 t="s">
        <v>112</v>
      </c>
      <c r="O34" s="62">
        <v>-4.0000000000000001E-3</v>
      </c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</row>
    <row r="35" spans="1:31" ht="14" customHeight="1" thickBot="1" x14ac:dyDescent="0.55000000000000004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1:31" x14ac:dyDescent="0.3">
      <c r="A36" t="s">
        <v>148</v>
      </c>
      <c r="B36" s="12" t="s">
        <v>147</v>
      </c>
      <c r="N36" t="s">
        <v>148</v>
      </c>
      <c r="O36" s="12" t="s">
        <v>147</v>
      </c>
    </row>
    <row r="37" spans="1:31" x14ac:dyDescent="0.3">
      <c r="A37" s="54" t="s">
        <v>41</v>
      </c>
      <c r="B37" s="19">
        <f t="array" ref="B37:B66">MMULT(MINVERSE(A3:AD32), AF3:AF32-B34)/SUM(MMULT(MINVERSE(A3:AD32), AF3:AF32-B34))</f>
        <v>-0.41397946599638363</v>
      </c>
      <c r="C37" s="61"/>
      <c r="N37" s="54" t="s">
        <v>41</v>
      </c>
      <c r="O37" s="90">
        <v>0</v>
      </c>
    </row>
    <row r="38" spans="1:31" x14ac:dyDescent="0.3">
      <c r="A38" s="54" t="s">
        <v>42</v>
      </c>
      <c r="B38" s="19">
        <v>-0.29953552634691682</v>
      </c>
      <c r="C38" s="61"/>
      <c r="N38" s="54" t="s">
        <v>42</v>
      </c>
      <c r="O38" s="90">
        <v>0</v>
      </c>
      <c r="R38" s="83" t="s">
        <v>71</v>
      </c>
      <c r="S38" s="83" t="s">
        <v>110</v>
      </c>
    </row>
    <row r="39" spans="1:31" x14ac:dyDescent="0.3">
      <c r="A39" s="54" t="s">
        <v>10</v>
      </c>
      <c r="B39" s="19">
        <v>0.11060794175351696</v>
      </c>
      <c r="C39" s="61"/>
      <c r="N39" s="54" t="s">
        <v>10</v>
      </c>
      <c r="O39" s="92">
        <v>7.6394418881374146E-2</v>
      </c>
      <c r="Q39" s="83" t="s">
        <v>123</v>
      </c>
      <c r="R39" s="8">
        <f>0</f>
        <v>0</v>
      </c>
      <c r="S39" s="8">
        <f>O34</f>
        <v>-4.0000000000000001E-3</v>
      </c>
    </row>
    <row r="40" spans="1:31" x14ac:dyDescent="0.3">
      <c r="A40" s="54" t="s">
        <v>43</v>
      </c>
      <c r="B40" s="19">
        <v>-0.19751939947012551</v>
      </c>
      <c r="C40" s="61"/>
      <c r="N40" s="54" t="s">
        <v>43</v>
      </c>
      <c r="O40" s="90">
        <v>0</v>
      </c>
      <c r="Q40" s="83" t="s">
        <v>122</v>
      </c>
      <c r="R40" s="8">
        <f>O69</f>
        <v>4.9798741899711015E-2</v>
      </c>
      <c r="S40" s="8">
        <f>O68</f>
        <v>2.9538394126239056E-2</v>
      </c>
    </row>
    <row r="41" spans="1:31" x14ac:dyDescent="0.3">
      <c r="A41" s="54" t="s">
        <v>44</v>
      </c>
      <c r="B41" s="19">
        <v>0.89635936107993552</v>
      </c>
      <c r="C41" s="61"/>
      <c r="E41" s="83" t="s">
        <v>71</v>
      </c>
      <c r="F41" s="83" t="s">
        <v>110</v>
      </c>
      <c r="N41" s="54" t="s">
        <v>44</v>
      </c>
      <c r="O41" s="90">
        <v>0</v>
      </c>
      <c r="Q41" t="s">
        <v>126</v>
      </c>
      <c r="R41" s="8">
        <f>R40*2</f>
        <v>9.9597483799422029E-2</v>
      </c>
      <c r="S41" s="8">
        <f>S40*2</f>
        <v>5.9076788252478113E-2</v>
      </c>
    </row>
    <row r="42" spans="1:31" x14ac:dyDescent="0.3">
      <c r="A42" s="54" t="s">
        <v>45</v>
      </c>
      <c r="B42" s="19">
        <v>0.15772997211601603</v>
      </c>
      <c r="C42" s="61"/>
      <c r="D42" s="83" t="s">
        <v>123</v>
      </c>
      <c r="E42" s="28">
        <f>0</f>
        <v>0</v>
      </c>
      <c r="F42" s="28">
        <f>B34</f>
        <v>-4.0000000000000001E-3</v>
      </c>
      <c r="N42" s="54" t="s">
        <v>45</v>
      </c>
      <c r="O42" s="90">
        <v>0</v>
      </c>
      <c r="Q42" t="s">
        <v>127</v>
      </c>
      <c r="R42" s="8">
        <f>R40*3</f>
        <v>0.14939622569913305</v>
      </c>
      <c r="S42" s="8">
        <f>S40*3</f>
        <v>8.8615182378717169E-2</v>
      </c>
    </row>
    <row r="43" spans="1:31" x14ac:dyDescent="0.3">
      <c r="A43" s="54" t="s">
        <v>46</v>
      </c>
      <c r="B43" s="19">
        <v>3.4246280979088328E-2</v>
      </c>
      <c r="C43" s="61"/>
      <c r="D43" s="83" t="s">
        <v>122</v>
      </c>
      <c r="E43" s="28">
        <f>B69</f>
        <v>6.4898103366200124E-2</v>
      </c>
      <c r="F43" s="78">
        <f>B68</f>
        <v>7.7361894062473374E-2</v>
      </c>
      <c r="N43" s="54" t="s">
        <v>46</v>
      </c>
      <c r="O43" s="90">
        <v>0</v>
      </c>
    </row>
    <row r="44" spans="1:31" x14ac:dyDescent="0.3">
      <c r="A44" s="54" t="s">
        <v>47</v>
      </c>
      <c r="B44" s="19">
        <v>-0.40196345594035521</v>
      </c>
      <c r="C44" s="61"/>
      <c r="D44" t="s">
        <v>126</v>
      </c>
      <c r="E44">
        <f>E43*2</f>
        <v>0.12979620673240025</v>
      </c>
      <c r="F44">
        <f>F43*2</f>
        <v>0.15472378812494675</v>
      </c>
      <c r="N44" s="54" t="s">
        <v>47</v>
      </c>
      <c r="O44" s="90">
        <v>0</v>
      </c>
    </row>
    <row r="45" spans="1:31" x14ac:dyDescent="0.3">
      <c r="A45" s="54" t="s">
        <v>12</v>
      </c>
      <c r="B45" s="19">
        <v>0.94329050365618339</v>
      </c>
      <c r="C45" s="61"/>
      <c r="D45" t="s">
        <v>127</v>
      </c>
      <c r="E45">
        <f>E43*3</f>
        <v>0.19469431009860039</v>
      </c>
      <c r="F45" s="78">
        <f>F43*3</f>
        <v>0.23208568218742012</v>
      </c>
      <c r="G45" s="78"/>
      <c r="N45" s="54" t="s">
        <v>12</v>
      </c>
      <c r="O45" s="90">
        <v>0</v>
      </c>
    </row>
    <row r="46" spans="1:31" x14ac:dyDescent="0.3">
      <c r="A46" s="54" t="s">
        <v>48</v>
      </c>
      <c r="B46" s="19">
        <v>-0.22608251606986907</v>
      </c>
      <c r="C46" s="61"/>
      <c r="N46" s="54" t="s">
        <v>48</v>
      </c>
      <c r="O46" s="90">
        <v>0</v>
      </c>
    </row>
    <row r="47" spans="1:31" x14ac:dyDescent="0.3">
      <c r="A47" s="54" t="s">
        <v>11</v>
      </c>
      <c r="B47" s="19">
        <v>0.36596398041519196</v>
      </c>
      <c r="C47" s="61"/>
      <c r="N47" s="54" t="s">
        <v>11</v>
      </c>
      <c r="O47" s="92">
        <v>0.36240483850928223</v>
      </c>
    </row>
    <row r="48" spans="1:31" x14ac:dyDescent="0.3">
      <c r="A48" s="54" t="s">
        <v>13</v>
      </c>
      <c r="B48" s="19">
        <v>0.46733895273336579</v>
      </c>
      <c r="C48" s="61"/>
      <c r="N48" s="54" t="s">
        <v>13</v>
      </c>
      <c r="O48" s="92">
        <v>0.13214024978232403</v>
      </c>
    </row>
    <row r="49" spans="1:15" x14ac:dyDescent="0.3">
      <c r="A49" s="54" t="s">
        <v>49</v>
      </c>
      <c r="B49" s="19">
        <v>0.651345258935625</v>
      </c>
      <c r="C49" s="61"/>
      <c r="N49" s="54" t="s">
        <v>49</v>
      </c>
      <c r="O49" s="90">
        <v>0</v>
      </c>
    </row>
    <row r="50" spans="1:15" x14ac:dyDescent="0.3">
      <c r="A50" s="54" t="s">
        <v>14</v>
      </c>
      <c r="B50" s="19">
        <v>0.2775270627490854</v>
      </c>
      <c r="C50" s="61"/>
      <c r="N50" s="54" t="s">
        <v>14</v>
      </c>
      <c r="O50" s="92">
        <v>0.20495202878950514</v>
      </c>
    </row>
    <row r="51" spans="1:15" x14ac:dyDescent="0.3">
      <c r="A51" s="54" t="s">
        <v>17</v>
      </c>
      <c r="B51" s="19">
        <v>0.17984245009915412</v>
      </c>
      <c r="C51" s="61"/>
      <c r="N51" s="54" t="s">
        <v>17</v>
      </c>
      <c r="O51" s="90">
        <v>0</v>
      </c>
    </row>
    <row r="52" spans="1:15" x14ac:dyDescent="0.3">
      <c r="A52" s="54" t="s">
        <v>50</v>
      </c>
      <c r="B52" s="19">
        <v>0.74715729367915107</v>
      </c>
      <c r="C52" s="61"/>
      <c r="N52" s="54" t="s">
        <v>50</v>
      </c>
      <c r="O52" s="90">
        <v>0</v>
      </c>
    </row>
    <row r="53" spans="1:15" x14ac:dyDescent="0.3">
      <c r="A53" s="54" t="s">
        <v>51</v>
      </c>
      <c r="B53" s="19">
        <v>8.3758326400879074E-2</v>
      </c>
      <c r="C53" s="61"/>
      <c r="N53" s="54" t="s">
        <v>51</v>
      </c>
      <c r="O53" s="90">
        <v>0</v>
      </c>
    </row>
    <row r="54" spans="1:15" x14ac:dyDescent="0.3">
      <c r="A54" s="54" t="s">
        <v>52</v>
      </c>
      <c r="B54" s="19">
        <v>-0.18413611519190681</v>
      </c>
      <c r="C54" s="61"/>
      <c r="N54" s="54" t="s">
        <v>52</v>
      </c>
      <c r="O54" s="90">
        <v>0</v>
      </c>
    </row>
    <row r="55" spans="1:15" x14ac:dyDescent="0.3">
      <c r="A55" s="54" t="s">
        <v>53</v>
      </c>
      <c r="B55" s="19">
        <v>-0.1366074097531246</v>
      </c>
      <c r="C55" s="61"/>
      <c r="N55" s="54" t="s">
        <v>53</v>
      </c>
      <c r="O55" s="90">
        <v>0</v>
      </c>
    </row>
    <row r="56" spans="1:15" x14ac:dyDescent="0.3">
      <c r="A56" s="54" t="s">
        <v>15</v>
      </c>
      <c r="B56" s="19">
        <v>-0.22467307623798752</v>
      </c>
      <c r="C56" s="61"/>
      <c r="N56" s="54" t="s">
        <v>15</v>
      </c>
      <c r="O56" s="90">
        <v>0</v>
      </c>
    </row>
    <row r="57" spans="1:15" x14ac:dyDescent="0.3">
      <c r="A57" s="54" t="s">
        <v>54</v>
      </c>
      <c r="B57" s="19">
        <v>-0.44797354245489429</v>
      </c>
      <c r="C57" s="61"/>
      <c r="N57" s="54" t="s">
        <v>54</v>
      </c>
      <c r="O57" s="92">
        <v>2.9126519629429894E-2</v>
      </c>
    </row>
    <row r="58" spans="1:15" x14ac:dyDescent="0.3">
      <c r="A58" s="54" t="s">
        <v>55</v>
      </c>
      <c r="B58" s="19">
        <v>-6.508095390334824E-2</v>
      </c>
      <c r="C58" s="61"/>
      <c r="N58" s="54" t="s">
        <v>55</v>
      </c>
      <c r="O58" s="90">
        <v>0</v>
      </c>
    </row>
    <row r="59" spans="1:15" x14ac:dyDescent="0.3">
      <c r="A59" s="54" t="s">
        <v>56</v>
      </c>
      <c r="B59" s="19">
        <v>-8.0867198563058337E-2</v>
      </c>
      <c r="C59" s="61"/>
      <c r="N59" s="54" t="s">
        <v>56</v>
      </c>
      <c r="O59" s="90">
        <v>0</v>
      </c>
    </row>
    <row r="60" spans="1:15" x14ac:dyDescent="0.3">
      <c r="A60" s="54" t="s">
        <v>57</v>
      </c>
      <c r="B60" s="19">
        <v>-0.4992643502523213</v>
      </c>
      <c r="C60" s="61"/>
      <c r="N60" s="54" t="s">
        <v>57</v>
      </c>
      <c r="O60" s="90">
        <v>0</v>
      </c>
    </row>
    <row r="61" spans="1:15" x14ac:dyDescent="0.3">
      <c r="A61" s="54" t="s">
        <v>58</v>
      </c>
      <c r="B61" s="19">
        <v>-0.46593765510190482</v>
      </c>
      <c r="C61" s="61"/>
      <c r="N61" s="54" t="s">
        <v>58</v>
      </c>
      <c r="O61" s="90">
        <v>0</v>
      </c>
    </row>
    <row r="62" spans="1:15" x14ac:dyDescent="0.3">
      <c r="A62" s="54" t="s">
        <v>59</v>
      </c>
      <c r="B62" s="19">
        <v>-0.34151532508377147</v>
      </c>
      <c r="C62" s="61"/>
      <c r="N62" s="54" t="s">
        <v>59</v>
      </c>
      <c r="O62" s="90">
        <v>0</v>
      </c>
    </row>
    <row r="63" spans="1:15" x14ac:dyDescent="0.3">
      <c r="A63" s="54" t="s">
        <v>16</v>
      </c>
      <c r="B63" s="19">
        <v>0.31152204788583016</v>
      </c>
      <c r="C63" s="61"/>
      <c r="N63" s="54" t="s">
        <v>16</v>
      </c>
      <c r="O63" s="92">
        <v>0.19498194254543952</v>
      </c>
    </row>
    <row r="64" spans="1:15" x14ac:dyDescent="0.3">
      <c r="A64" s="54" t="s">
        <v>60</v>
      </c>
      <c r="B64" s="19">
        <v>-0.30598470037365849</v>
      </c>
      <c r="C64" s="61"/>
      <c r="N64" s="54" t="s">
        <v>60</v>
      </c>
      <c r="O64" s="90">
        <v>0</v>
      </c>
    </row>
    <row r="65" spans="1:15" x14ac:dyDescent="0.3">
      <c r="A65" s="54" t="s">
        <v>61</v>
      </c>
      <c r="B65" s="19">
        <v>-0.1104740952126211</v>
      </c>
      <c r="C65" s="61"/>
      <c r="N65" s="54" t="s">
        <v>61</v>
      </c>
      <c r="O65" s="90">
        <v>0</v>
      </c>
    </row>
    <row r="66" spans="1:15" x14ac:dyDescent="0.3">
      <c r="A66" s="54" t="s">
        <v>62</v>
      </c>
      <c r="B66" s="19">
        <v>0.1749053534692239</v>
      </c>
      <c r="C66" s="61"/>
      <c r="N66" s="54" t="s">
        <v>62</v>
      </c>
      <c r="O66" s="90">
        <v>0</v>
      </c>
    </row>
    <row r="67" spans="1:15" x14ac:dyDescent="0.3">
      <c r="B67" s="91">
        <f t="shared" ref="B67" si="0">SUM(B37:B66)</f>
        <v>1.0000000000000004</v>
      </c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>
        <f>SUM(O37:O66)</f>
        <v>0.99999999813735496</v>
      </c>
    </row>
    <row r="68" spans="1:15" x14ac:dyDescent="0.3">
      <c r="A68" t="s">
        <v>116</v>
      </c>
      <c r="B68" s="8">
        <f>SUMPRODUCT(AF3:AF32,B37:B66)</f>
        <v>7.7361894062473374E-2</v>
      </c>
      <c r="C68" s="8"/>
      <c r="N68" t="s">
        <v>116</v>
      </c>
      <c r="O68" s="8">
        <f>SUMPRODUCT(AF3:AF32,O37:O66)</f>
        <v>2.9538394126239056E-2</v>
      </c>
    </row>
    <row r="69" spans="1:15" x14ac:dyDescent="0.3">
      <c r="A69" t="s">
        <v>117</v>
      </c>
      <c r="B69" s="8" cm="1">
        <f t="array" ref="B69">SQRT(MMULT(MMULT(TRANSPOSE(B37:B66),A3:AD32),B37:B66))</f>
        <v>6.4898103366200124E-2</v>
      </c>
      <c r="C69" s="8"/>
      <c r="N69" t="s">
        <v>117</v>
      </c>
      <c r="O69" s="8" cm="1">
        <f t="array" ref="O69">SQRT(MMULT(MMULT(TRANSPOSE(O37:O66),A3:AD32),O37:O66))</f>
        <v>4.9798741899711015E-2</v>
      </c>
    </row>
    <row r="70" spans="1:15" x14ac:dyDescent="0.3">
      <c r="B70" s="8"/>
      <c r="C70" s="8"/>
      <c r="N70" t="s">
        <v>128</v>
      </c>
      <c r="O70" s="28">
        <f>(O68-O34)/O69</f>
        <v>0.67347874357512005</v>
      </c>
    </row>
    <row r="71" spans="1:15" x14ac:dyDescent="0.3">
      <c r="B71" s="23"/>
      <c r="C71" s="8"/>
    </row>
    <row r="72" spans="1:15" x14ac:dyDescent="0.3">
      <c r="B72" s="79"/>
      <c r="C72" s="80"/>
    </row>
    <row r="73" spans="1:15" x14ac:dyDescent="0.3">
      <c r="A73" s="81"/>
      <c r="B73" s="82"/>
      <c r="C73" s="80"/>
    </row>
    <row r="74" spans="1:15" x14ac:dyDescent="0.3">
      <c r="B74" s="80"/>
    </row>
    <row r="75" spans="1:15" x14ac:dyDescent="0.3">
      <c r="B75" s="28"/>
    </row>
    <row r="78" spans="1:15" x14ac:dyDescent="0.3">
      <c r="B78" s="28"/>
      <c r="C78" s="28"/>
    </row>
    <row r="79" spans="1:15" x14ac:dyDescent="0.3">
      <c r="B79" s="80"/>
      <c r="C79" s="80"/>
    </row>
    <row r="80" spans="1:15" x14ac:dyDescent="0.3">
      <c r="B80" s="80"/>
      <c r="C80" s="80"/>
    </row>
    <row r="81" spans="2:3" x14ac:dyDescent="0.3">
      <c r="B81" s="80"/>
      <c r="C81" s="80"/>
    </row>
    <row r="82" spans="2:3" x14ac:dyDescent="0.3">
      <c r="B82" s="80"/>
      <c r="C82" s="80"/>
    </row>
    <row r="83" spans="2:3" x14ac:dyDescent="0.3">
      <c r="B83" s="80"/>
      <c r="C83" s="80"/>
    </row>
    <row r="84" spans="2:3" x14ac:dyDescent="0.3">
      <c r="B84" s="80"/>
      <c r="C84" s="80"/>
    </row>
    <row r="85" spans="2:3" x14ac:dyDescent="0.3">
      <c r="B85" s="80"/>
      <c r="C85" s="80"/>
    </row>
    <row r="86" spans="2:3" x14ac:dyDescent="0.3">
      <c r="B86" s="80"/>
      <c r="C86" s="80"/>
    </row>
    <row r="87" spans="2:3" x14ac:dyDescent="0.3">
      <c r="B87" s="80"/>
      <c r="C87" s="80"/>
    </row>
    <row r="88" spans="2:3" x14ac:dyDescent="0.3">
      <c r="B88" s="80"/>
      <c r="C88" s="80"/>
    </row>
    <row r="89" spans="2:3" x14ac:dyDescent="0.3">
      <c r="B89" s="80"/>
      <c r="C89" s="80"/>
    </row>
    <row r="90" spans="2:3" x14ac:dyDescent="0.3">
      <c r="B90" s="80"/>
      <c r="C90" s="80"/>
    </row>
    <row r="91" spans="2:3" x14ac:dyDescent="0.3">
      <c r="B91" s="80"/>
      <c r="C91" s="80"/>
    </row>
    <row r="92" spans="2:3" x14ac:dyDescent="0.3">
      <c r="B92" s="80"/>
      <c r="C92" s="80"/>
    </row>
    <row r="93" spans="2:3" x14ac:dyDescent="0.3">
      <c r="B93" s="80"/>
      <c r="C93" s="80"/>
    </row>
    <row r="94" spans="2:3" x14ac:dyDescent="0.3">
      <c r="B94" s="80"/>
      <c r="C94" s="80"/>
    </row>
    <row r="95" spans="2:3" x14ac:dyDescent="0.3">
      <c r="B95" s="80"/>
      <c r="C95" s="80"/>
    </row>
    <row r="96" spans="2:3" x14ac:dyDescent="0.3">
      <c r="B96" s="80"/>
      <c r="C96" s="80"/>
    </row>
    <row r="97" spans="2:3" x14ac:dyDescent="0.3">
      <c r="B97" s="80"/>
      <c r="C97" s="80"/>
    </row>
    <row r="98" spans="2:3" x14ac:dyDescent="0.3">
      <c r="B98" s="80"/>
      <c r="C98" s="80"/>
    </row>
    <row r="99" spans="2:3" x14ac:dyDescent="0.3">
      <c r="B99" s="80"/>
      <c r="C99" s="80"/>
    </row>
    <row r="100" spans="2:3" x14ac:dyDescent="0.3">
      <c r="B100" s="80"/>
      <c r="C100" s="80"/>
    </row>
    <row r="101" spans="2:3" x14ac:dyDescent="0.3">
      <c r="B101" s="80"/>
      <c r="C101" s="80"/>
    </row>
    <row r="102" spans="2:3" x14ac:dyDescent="0.3">
      <c r="B102" s="80"/>
      <c r="C102" s="80"/>
    </row>
    <row r="103" spans="2:3" x14ac:dyDescent="0.3">
      <c r="B103" s="80"/>
      <c r="C103" s="80"/>
    </row>
    <row r="104" spans="2:3" x14ac:dyDescent="0.3">
      <c r="B104" s="80"/>
      <c r="C104" s="80"/>
    </row>
    <row r="105" spans="2:3" x14ac:dyDescent="0.3">
      <c r="B105" s="80"/>
      <c r="C105" s="80"/>
    </row>
    <row r="106" spans="2:3" x14ac:dyDescent="0.3">
      <c r="B106" s="80"/>
      <c r="C106" s="80"/>
    </row>
    <row r="107" spans="2:3" x14ac:dyDescent="0.3">
      <c r="B107" s="80"/>
      <c r="C107" s="80"/>
    </row>
    <row r="108" spans="2:3" x14ac:dyDescent="0.3">
      <c r="B108" s="80"/>
      <c r="C108" s="80"/>
    </row>
    <row r="109" spans="2:3" x14ac:dyDescent="0.3">
      <c r="B109" s="80"/>
      <c r="C109" s="80"/>
    </row>
    <row r="110" spans="2:3" x14ac:dyDescent="0.3">
      <c r="B110" s="80"/>
      <c r="C110" s="80"/>
    </row>
    <row r="111" spans="2:3" x14ac:dyDescent="0.3">
      <c r="B111" s="80"/>
      <c r="C111" s="80"/>
    </row>
    <row r="112" spans="2:3" x14ac:dyDescent="0.3">
      <c r="B112" s="80"/>
      <c r="C112" s="80"/>
    </row>
    <row r="113" spans="2:3" x14ac:dyDescent="0.3">
      <c r="B113" s="80"/>
      <c r="C113" s="80"/>
    </row>
    <row r="114" spans="2:3" x14ac:dyDescent="0.3">
      <c r="B114" s="80"/>
      <c r="C114" s="80"/>
    </row>
    <row r="115" spans="2:3" x14ac:dyDescent="0.3">
      <c r="B115" s="80"/>
      <c r="C115" s="80"/>
    </row>
    <row r="116" spans="2:3" x14ac:dyDescent="0.3">
      <c r="B116" s="80"/>
      <c r="C116" s="80"/>
    </row>
    <row r="117" spans="2:3" x14ac:dyDescent="0.3">
      <c r="B117" s="80"/>
      <c r="C117" s="80"/>
    </row>
    <row r="118" spans="2:3" x14ac:dyDescent="0.3">
      <c r="B118" s="80"/>
      <c r="C118" s="80"/>
    </row>
    <row r="119" spans="2:3" x14ac:dyDescent="0.3">
      <c r="B119" s="80"/>
      <c r="C119" s="80"/>
    </row>
    <row r="120" spans="2:3" x14ac:dyDescent="0.3">
      <c r="B120" s="80"/>
      <c r="C120" s="80"/>
    </row>
    <row r="121" spans="2:3" x14ac:dyDescent="0.3">
      <c r="B121" s="80"/>
      <c r="C121" s="80"/>
    </row>
    <row r="122" spans="2:3" x14ac:dyDescent="0.3">
      <c r="B122" s="80"/>
      <c r="C122" s="80"/>
    </row>
    <row r="123" spans="2:3" x14ac:dyDescent="0.3">
      <c r="B123" s="80"/>
      <c r="C123" s="80"/>
    </row>
    <row r="124" spans="2:3" x14ac:dyDescent="0.3">
      <c r="B124" s="80"/>
      <c r="C124" s="80"/>
    </row>
  </sheetData>
  <mergeCells count="1">
    <mergeCell ref="A1:L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58C7-C2CD-4785-9C03-319038EDAC6E}">
  <sheetPr codeName="Trang_tính9"/>
  <dimension ref="A1:AG99"/>
  <sheetViews>
    <sheetView tabSelected="1" zoomScale="75" zoomScaleNormal="80" workbookViewId="0">
      <selection activeCell="I41" sqref="I41"/>
    </sheetView>
  </sheetViews>
  <sheetFormatPr defaultRowHeight="14" x14ac:dyDescent="0.3"/>
  <cols>
    <col min="1" max="1" width="9.58203125" customWidth="1"/>
    <col min="2" max="2" width="8.9140625" bestFit="1" customWidth="1"/>
    <col min="4" max="4" width="10.33203125" customWidth="1"/>
    <col min="5" max="5" width="11.5" customWidth="1"/>
    <col min="8" max="8" width="9.33203125" customWidth="1"/>
    <col min="9" max="9" width="11.9140625" customWidth="1"/>
    <col min="14" max="14" width="13.5" customWidth="1"/>
    <col min="15" max="15" width="11.58203125" customWidth="1"/>
  </cols>
  <sheetData>
    <row r="1" spans="1:33" ht="14.5" thickBot="1" x14ac:dyDescent="0.35">
      <c r="A1" s="6"/>
      <c r="B1" s="4" t="s">
        <v>41</v>
      </c>
      <c r="C1" s="4" t="s">
        <v>42</v>
      </c>
      <c r="D1" s="4" t="s">
        <v>10</v>
      </c>
      <c r="E1" s="4" t="s">
        <v>43</v>
      </c>
      <c r="F1" s="5" t="s">
        <v>44</v>
      </c>
      <c r="G1" s="4" t="s">
        <v>45</v>
      </c>
      <c r="H1" s="5" t="s">
        <v>46</v>
      </c>
      <c r="I1" s="5" t="s">
        <v>47</v>
      </c>
      <c r="J1" s="4" t="s">
        <v>12</v>
      </c>
      <c r="K1" s="4" t="s">
        <v>48</v>
      </c>
      <c r="L1" s="4" t="s">
        <v>11</v>
      </c>
      <c r="M1" s="5" t="s">
        <v>13</v>
      </c>
      <c r="N1" s="5" t="s">
        <v>49</v>
      </c>
      <c r="O1" s="4" t="s">
        <v>14</v>
      </c>
      <c r="P1" s="5" t="s">
        <v>17</v>
      </c>
      <c r="Q1" s="4" t="s">
        <v>50</v>
      </c>
      <c r="R1" s="4" t="s">
        <v>51</v>
      </c>
      <c r="S1" s="4" t="s">
        <v>52</v>
      </c>
      <c r="T1" s="5" t="s">
        <v>53</v>
      </c>
      <c r="U1" s="4" t="s">
        <v>15</v>
      </c>
      <c r="V1" s="5" t="s">
        <v>54</v>
      </c>
      <c r="W1" s="5" t="s">
        <v>55</v>
      </c>
      <c r="X1" s="5" t="s">
        <v>56</v>
      </c>
      <c r="Y1" s="5" t="s">
        <v>57</v>
      </c>
      <c r="Z1" s="5" t="s">
        <v>58</v>
      </c>
      <c r="AA1" s="5" t="s">
        <v>59</v>
      </c>
      <c r="AB1" s="5" t="s">
        <v>16</v>
      </c>
      <c r="AC1" s="5" t="s">
        <v>60</v>
      </c>
      <c r="AD1" s="5" t="s">
        <v>61</v>
      </c>
      <c r="AE1" s="5" t="s">
        <v>62</v>
      </c>
      <c r="AF1" s="50" t="s">
        <v>8</v>
      </c>
    </row>
    <row r="2" spans="1:33" ht="14.5" thickBot="1" x14ac:dyDescent="0.35">
      <c r="A2" t="s">
        <v>145</v>
      </c>
      <c r="B2" s="28">
        <f>AVERAGE('ROR-Var-Sd'!B5:B78)</f>
        <v>-9.7228148501555828E-4</v>
      </c>
      <c r="C2" s="28">
        <f>AVERAGE('ROR-Var-Sd'!C5:C78)</f>
        <v>2.50010100186575E-3</v>
      </c>
      <c r="D2" s="28">
        <f>AVERAGE('ROR-Var-Sd'!D5:D78)</f>
        <v>4.0743109326464945E-2</v>
      </c>
      <c r="E2" s="28">
        <f>AVERAGE('ROR-Var-Sd'!E5:E78)</f>
        <v>7.9783098437083422E-3</v>
      </c>
      <c r="F2" s="28">
        <f>AVERAGE('ROR-Var-Sd'!F5:F78)</f>
        <v>5.3214208137620442E-3</v>
      </c>
      <c r="G2" s="28">
        <f>AVERAGE('ROR-Var-Sd'!G5:G78)</f>
        <v>6.9288135410347593E-3</v>
      </c>
      <c r="H2" s="28">
        <f>AVERAGE('ROR-Var-Sd'!H5:H78)</f>
        <v>6.5518805534664241E-3</v>
      </c>
      <c r="I2" s="28">
        <f>AVERAGE('ROR-Var-Sd'!I5:I78)</f>
        <v>-7.7221345639838133E-4</v>
      </c>
      <c r="J2" s="28">
        <f>AVERAGE('ROR-Var-Sd'!J5:J78)</f>
        <v>1.7396897908116257E-2</v>
      </c>
      <c r="K2" s="28">
        <f>AVERAGE('ROR-Var-Sd'!K5:K78)</f>
        <v>-2.1073168997166715E-3</v>
      </c>
      <c r="L2" s="28">
        <f>AVERAGE('ROR-Var-Sd'!L5:L78)</f>
        <v>3.4012698606636367E-2</v>
      </c>
      <c r="M2" s="28">
        <f>AVERAGE('ROR-Var-Sd'!M5:M78)</f>
        <v>1.9868434168737327E-2</v>
      </c>
      <c r="N2" s="28">
        <f>AVERAGE('ROR-Var-Sd'!N5:N78)</f>
        <v>2.6243704516471329E-3</v>
      </c>
      <c r="O2" s="28">
        <f>AVERAGE('ROR-Var-Sd'!O5:O78)</f>
        <v>3.4350656596959711E-2</v>
      </c>
      <c r="P2" s="28">
        <f>AVERAGE('ROR-Var-Sd'!P5:P78)</f>
        <v>3.3368444812851158E-2</v>
      </c>
      <c r="Q2" s="28">
        <f>AVERAGE('ROR-Var-Sd'!Q5:Q78)</f>
        <v>8.6763701650059127E-3</v>
      </c>
      <c r="R2" s="28">
        <f>AVERAGE('ROR-Var-Sd'!R5:R78)</f>
        <v>6.7143675275954376E-3</v>
      </c>
      <c r="S2" s="28">
        <f>AVERAGE('ROR-Var-Sd'!S5:S78)</f>
        <v>9.9157211126981865E-3</v>
      </c>
      <c r="T2" s="28">
        <f>AVERAGE('ROR-Var-Sd'!T5:T78)</f>
        <v>4.7818605397556514E-3</v>
      </c>
      <c r="U2" s="28">
        <f>AVERAGE('ROR-Var-Sd'!U5:U78)</f>
        <v>1.2239979045882679E-2</v>
      </c>
      <c r="V2" s="28">
        <f>AVERAGE('ROR-Var-Sd'!V5:V78)</f>
        <v>7.5572808797761629E-3</v>
      </c>
      <c r="W2" s="28">
        <f>AVERAGE('ROR-Var-Sd'!W5:W78)</f>
        <v>-6.1493094837483642E-4</v>
      </c>
      <c r="X2" s="28">
        <f>AVERAGE('ROR-Var-Sd'!X5:X78)</f>
        <v>-2.6173178187012709E-3</v>
      </c>
      <c r="Y2" s="28">
        <f>AVERAGE('ROR-Var-Sd'!Y5:Y78)</f>
        <v>-1.5585568749412599E-3</v>
      </c>
      <c r="Z2" s="28">
        <f>AVERAGE('ROR-Var-Sd'!Z5:Z78)</f>
        <v>-7.798403172385969E-3</v>
      </c>
      <c r="AA2" s="28">
        <f>AVERAGE('ROR-Var-Sd'!AA5:AA78)</f>
        <v>-7.519232637903564E-3</v>
      </c>
      <c r="AB2" s="28">
        <f>AVERAGE('ROR-Var-Sd'!AB5:AB78)</f>
        <v>2.1610757701367812E-2</v>
      </c>
      <c r="AC2" s="28">
        <f>AVERAGE('ROR-Var-Sd'!AC5:AC78)</f>
        <v>5.2997146708404106E-3</v>
      </c>
      <c r="AD2" s="28">
        <f>AVERAGE('ROR-Var-Sd'!AD5:AD78)</f>
        <v>-9.5495114311798957E-3</v>
      </c>
      <c r="AE2" s="28">
        <f>AVERAGE('ROR-Var-Sd'!AE5:AE78)</f>
        <v>3.9425184826952812E-3</v>
      </c>
      <c r="AF2" s="28">
        <f>AVERAGE('ROR-Var-Sd'!AF5:AF78)</f>
        <v>4.5796390160965511E-3</v>
      </c>
      <c r="AG2" s="51" t="s">
        <v>114</v>
      </c>
    </row>
    <row r="3" spans="1:33" x14ac:dyDescent="0.3">
      <c r="A3" t="s">
        <v>66</v>
      </c>
      <c r="B3">
        <f>SLOPE('ROR-Var-Sd'!B5:B78,'ROR-Var-Sd'!$AF$5:$AF$78)</f>
        <v>0.5727643208627835</v>
      </c>
      <c r="C3">
        <f>SLOPE('ROR-Var-Sd'!C5:C78,'ROR-Var-Sd'!$AF$5:$AF$78)</f>
        <v>1.5917360522604622</v>
      </c>
      <c r="D3">
        <f>SLOPE('ROR-Var-Sd'!D5:D78,'ROR-Var-Sd'!$AF$5:$AF$78)</f>
        <v>0.84077501857399894</v>
      </c>
      <c r="E3">
        <f>SLOPE('ROR-Var-Sd'!E5:E78,'ROR-Var-Sd'!$AF$5:$AF$78)</f>
        <v>0.99289047889994719</v>
      </c>
      <c r="F3">
        <f>SLOPE('ROR-Var-Sd'!F5:F78,'ROR-Var-Sd'!$AF$5:$AF$78)</f>
        <v>1.069066201727964</v>
      </c>
      <c r="G3">
        <f>SLOPE('ROR-Var-Sd'!G5:G78,'ROR-Var-Sd'!$AF$5:$AF$78)</f>
        <v>1.1007073661086531</v>
      </c>
      <c r="H3">
        <f>SLOPE('ROR-Var-Sd'!H5:H78,'ROR-Var-Sd'!$AF$5:$AF$78)</f>
        <v>0.920365899223757</v>
      </c>
      <c r="I3">
        <f>SLOPE('ROR-Var-Sd'!I5:I78,'ROR-Var-Sd'!$AF$5:$AF$78)</f>
        <v>1.5073615726662966</v>
      </c>
      <c r="J3">
        <f>SLOPE('ROR-Var-Sd'!J5:J78,'ROR-Var-Sd'!$AF$5:$AF$78)</f>
        <v>1.2725012071004069</v>
      </c>
      <c r="K3">
        <f>SLOPE('ROR-Var-Sd'!K5:K78,'ROR-Var-Sd'!$AF$5:$AF$78)</f>
        <v>1.3237998184280058</v>
      </c>
      <c r="L3">
        <f>SLOPE('ROR-Var-Sd'!L5:L78,'ROR-Var-Sd'!$AF$5:$AF$78)</f>
        <v>0.17472645151380256</v>
      </c>
      <c r="M3">
        <f>SLOPE('ROR-Var-Sd'!M5:M78,'ROR-Var-Sd'!$AF$5:$AF$78)</f>
        <v>0.66459106835178716</v>
      </c>
      <c r="N3">
        <f>SLOPE('ROR-Var-Sd'!N5:N78,'ROR-Var-Sd'!$AF$5:$AF$78)</f>
        <v>1.6026395059337688</v>
      </c>
      <c r="O3">
        <f>SLOPE('ROR-Var-Sd'!O5:O78,'ROR-Var-Sd'!$AF$5:$AF$78)</f>
        <v>0.67721532190091371</v>
      </c>
      <c r="P3">
        <f>SLOPE('ROR-Var-Sd'!P5:P78,'ROR-Var-Sd'!$AF$5:$AF$78)</f>
        <v>1.7214996160750407</v>
      </c>
      <c r="Q3">
        <f>SLOPE('ROR-Var-Sd'!Q5:Q78,'ROR-Var-Sd'!$AF$5:$AF$78)</f>
        <v>0.38431009814845479</v>
      </c>
      <c r="R3">
        <f>SLOPE('ROR-Var-Sd'!R5:R78,'ROR-Var-Sd'!$AF$5:$AF$78)</f>
        <v>0.67064614382601229</v>
      </c>
      <c r="S3">
        <f>SLOPE('ROR-Var-Sd'!S5:S78,'ROR-Var-Sd'!$AF$5:$AF$78)</f>
        <v>0.5972675661464607</v>
      </c>
      <c r="T3">
        <f>SLOPE('ROR-Var-Sd'!T5:T78,'ROR-Var-Sd'!$AF$5:$AF$78)</f>
        <v>0.79392380241594962</v>
      </c>
      <c r="U3">
        <f>SLOPE('ROR-Var-Sd'!U5:U78,'ROR-Var-Sd'!$AF$5:$AF$78)</f>
        <v>1.2718585167782637</v>
      </c>
      <c r="V3">
        <f>SLOPE('ROR-Var-Sd'!V5:V78,'ROR-Var-Sd'!$AF$5:$AF$78)</f>
        <v>0.20964334475993945</v>
      </c>
      <c r="W3">
        <f>SLOPE('ROR-Var-Sd'!W5:W78,'ROR-Var-Sd'!$AF$5:$AF$78)</f>
        <v>0.82550313013270238</v>
      </c>
      <c r="X3">
        <f>SLOPE('ROR-Var-Sd'!X5:X78,'ROR-Var-Sd'!$AF$5:$AF$78)</f>
        <v>0.61175928801844071</v>
      </c>
      <c r="Y3">
        <f>SLOPE('ROR-Var-Sd'!Y5:Y78,'ROR-Var-Sd'!$AF$5:$AF$78)</f>
        <v>1.2161942695850836</v>
      </c>
      <c r="Z3">
        <f>SLOPE('ROR-Var-Sd'!Z5:Z78,'ROR-Var-Sd'!$AF$5:$AF$78)</f>
        <v>1.3506854390910561</v>
      </c>
      <c r="AA3">
        <f>SLOPE('ROR-Var-Sd'!AA5:AA78,'ROR-Var-Sd'!$AF$5:$AF$78)</f>
        <v>1.9859547130383701</v>
      </c>
      <c r="AB3">
        <f>SLOPE('ROR-Var-Sd'!AB5:AB78,'ROR-Var-Sd'!$AF$5:$AF$78)</f>
        <v>0.55291642018318832</v>
      </c>
      <c r="AC3">
        <f>SLOPE('ROR-Var-Sd'!AC5:AC78,'ROR-Var-Sd'!$AF$5:$AF$78)</f>
        <v>0.89845835363597448</v>
      </c>
      <c r="AD3">
        <f>SLOPE('ROR-Var-Sd'!AD5:AD78,'ROR-Var-Sd'!$AF$5:$AF$78)</f>
        <v>1.7919674674118251</v>
      </c>
      <c r="AE3">
        <f>SLOPE('ROR-Var-Sd'!AE5:AE78,'ROR-Var-Sd'!$AF$5:$AF$78)</f>
        <v>0.89341069721917443</v>
      </c>
      <c r="AF3">
        <f>SLOPE('ROR-Var-Sd'!AF5:AF78,'ROR-Var-Sd'!$AF$5:$AF$78)</f>
        <v>1</v>
      </c>
    </row>
    <row r="4" spans="1:33" ht="14.5" thickBot="1" x14ac:dyDescent="0.35">
      <c r="A4" t="s">
        <v>111</v>
      </c>
      <c r="B4" s="28">
        <f t="shared" ref="B4:AF4" si="0">$D$12+B3*($AF$2-$D$12)</f>
        <v>9.1411111430238137E-4</v>
      </c>
      <c r="C4" s="28">
        <f t="shared" si="0"/>
        <v>9.6565207373013606E-3</v>
      </c>
      <c r="D4" s="28">
        <f t="shared" si="0"/>
        <v>3.2135461531167834E-3</v>
      </c>
      <c r="E4" s="28">
        <f t="shared" si="0"/>
        <v>4.5186418914807767E-3</v>
      </c>
      <c r="F4" s="28">
        <f t="shared" si="0"/>
        <v>5.1722020951353864E-3</v>
      </c>
      <c r="G4" s="28">
        <f t="shared" si="0"/>
        <v>5.4436718635706705E-3</v>
      </c>
      <c r="H4" s="28">
        <f t="shared" si="0"/>
        <v>3.8964071780649319E-3</v>
      </c>
      <c r="I4" s="28">
        <f t="shared" si="0"/>
        <v>8.9326181602124143E-3</v>
      </c>
      <c r="J4" s="28">
        <f t="shared" si="0"/>
        <v>6.9176010044686084E-3</v>
      </c>
      <c r="K4" s="28">
        <f t="shared" si="0"/>
        <v>7.3577245716864477E-3</v>
      </c>
      <c r="L4" s="28">
        <f t="shared" si="0"/>
        <v>-2.5009101194480776E-3</v>
      </c>
      <c r="M4" s="28">
        <f t="shared" si="0"/>
        <v>1.7019514597802826E-3</v>
      </c>
      <c r="N4" s="28">
        <f t="shared" si="0"/>
        <v>9.7500684338470631E-3</v>
      </c>
      <c r="O4" s="28">
        <f t="shared" si="0"/>
        <v>1.8102629980794645E-3</v>
      </c>
      <c r="P4" s="28">
        <f t="shared" si="0"/>
        <v>1.0769845272272652E-2</v>
      </c>
      <c r="Q4" s="28">
        <f t="shared" si="0"/>
        <v>-7.0275808764562247E-4</v>
      </c>
      <c r="R4" s="28">
        <f t="shared" si="0"/>
        <v>1.7539018215643543E-3</v>
      </c>
      <c r="S4" s="28">
        <f t="shared" si="0"/>
        <v>1.1243401135592017E-3</v>
      </c>
      <c r="T4" s="28">
        <f t="shared" si="0"/>
        <v>2.8115796310156102E-3</v>
      </c>
      <c r="U4" s="28">
        <f t="shared" si="0"/>
        <v>6.9120869535054807E-3</v>
      </c>
      <c r="V4" s="28">
        <f t="shared" si="0"/>
        <v>-2.2013357798326433E-3</v>
      </c>
      <c r="W4" s="28">
        <f t="shared" si="0"/>
        <v>3.0825188631963618E-3</v>
      </c>
      <c r="X4" s="28">
        <f t="shared" si="0"/>
        <v>1.2486738559424615E-3</v>
      </c>
      <c r="Y4" s="28">
        <f t="shared" si="0"/>
        <v>6.4345078064852301E-3</v>
      </c>
      <c r="Z4" s="28">
        <f t="shared" si="0"/>
        <v>7.5883934916991264E-3</v>
      </c>
      <c r="AA4" s="28">
        <f t="shared" si="0"/>
        <v>1.303877454018483E-2</v>
      </c>
      <c r="AB4" s="28">
        <f t="shared" si="0"/>
        <v>7.4382329124411672E-4</v>
      </c>
      <c r="AC4" s="28">
        <f t="shared" si="0"/>
        <v>3.7084483451930795E-3</v>
      </c>
      <c r="AD4" s="28">
        <f t="shared" si="0"/>
        <v>1.137443399898222E-2</v>
      </c>
      <c r="AE4" s="28">
        <f t="shared" si="0"/>
        <v>3.6651412752596512E-3</v>
      </c>
      <c r="AF4" s="46">
        <f t="shared" si="0"/>
        <v>4.5796390160965511E-3</v>
      </c>
    </row>
    <row r="5" spans="1:33" ht="14.5" customHeight="1" x14ac:dyDescent="0.3">
      <c r="B5" s="28"/>
    </row>
    <row r="6" spans="1:33" ht="67" customHeight="1" x14ac:dyDescent="0.3">
      <c r="B6" s="28"/>
      <c r="I6" s="47" t="s">
        <v>121</v>
      </c>
    </row>
    <row r="7" spans="1:33" x14ac:dyDescent="0.3">
      <c r="B7" s="28"/>
      <c r="I7" s="95" t="s">
        <v>149</v>
      </c>
    </row>
    <row r="8" spans="1:33" x14ac:dyDescent="0.3">
      <c r="I8" s="95" t="s">
        <v>150</v>
      </c>
    </row>
    <row r="9" spans="1:33" ht="14.5" thickBot="1" x14ac:dyDescent="0.35"/>
    <row r="10" spans="1:33" ht="14.5" thickBot="1" x14ac:dyDescent="0.35">
      <c r="C10" s="49" t="s">
        <v>113</v>
      </c>
      <c r="D10" s="74">
        <f>AF2-D12</f>
        <v>8.5796390160965512E-3</v>
      </c>
    </row>
    <row r="11" spans="1:33" ht="58" customHeight="1" x14ac:dyDescent="0.3">
      <c r="C11" s="18" t="s">
        <v>66</v>
      </c>
      <c r="D11" s="89" t="s">
        <v>151</v>
      </c>
      <c r="E11" s="89" t="s">
        <v>152</v>
      </c>
      <c r="F11" s="18" t="s">
        <v>115</v>
      </c>
    </row>
    <row r="12" spans="1:33" x14ac:dyDescent="0.3">
      <c r="B12" t="s">
        <v>112</v>
      </c>
      <c r="C12">
        <v>0</v>
      </c>
      <c r="D12" s="48">
        <v>-4.0000000000000001E-3</v>
      </c>
      <c r="E12" s="48">
        <v>-4.0000000000000001E-3</v>
      </c>
    </row>
    <row r="13" spans="1:33" x14ac:dyDescent="0.3">
      <c r="B13" s="54" t="s">
        <v>41</v>
      </c>
      <c r="C13" s="59" cm="1">
        <f t="array" ref="C13:C42">TRANSPOSE(B3:AE3)</f>
        <v>0.5727643208627835</v>
      </c>
      <c r="D13" s="8" cm="1">
        <f t="array" ref="D13:D42">TRANSPOSE(B4:AE4)</f>
        <v>9.1411111430238137E-4</v>
      </c>
      <c r="E13" s="8" cm="1">
        <f t="array" ref="E13:E42">TRANSPOSE(B2:AE2)</f>
        <v>-9.7228148501555828E-4</v>
      </c>
      <c r="F13" s="75">
        <f>E13-D13</f>
        <v>-1.8863925993179397E-3</v>
      </c>
      <c r="G13" t="str" cm="1">
        <f t="array" ref="G13">getformula(F13)</f>
        <v>=E13-D13</v>
      </c>
    </row>
    <row r="14" spans="1:33" ht="14.5" x14ac:dyDescent="0.35">
      <c r="B14" s="54" t="s">
        <v>42</v>
      </c>
      <c r="C14" s="59">
        <v>1.5917360522604622</v>
      </c>
      <c r="D14" s="8">
        <v>9.6565207373013606E-3</v>
      </c>
      <c r="E14" s="8">
        <v>2.50010100186575E-3</v>
      </c>
      <c r="F14" s="75">
        <f t="shared" ref="F14:F42" si="1">E14-D14</f>
        <v>-7.1564197354356106E-3</v>
      </c>
      <c r="L14" s="76"/>
      <c r="M14" s="76"/>
    </row>
    <row r="15" spans="1:33" x14ac:dyDescent="0.3">
      <c r="B15" s="54" t="s">
        <v>10</v>
      </c>
      <c r="C15" s="59">
        <v>0.84077501857399894</v>
      </c>
      <c r="D15" s="8">
        <v>3.2135461531167834E-3</v>
      </c>
      <c r="E15" s="8">
        <v>4.0743109326464945E-2</v>
      </c>
      <c r="F15" s="28">
        <f t="shared" si="1"/>
        <v>3.7529563173348164E-2</v>
      </c>
    </row>
    <row r="16" spans="1:33" x14ac:dyDescent="0.3">
      <c r="B16" s="54" t="s">
        <v>43</v>
      </c>
      <c r="C16" s="59">
        <v>0.99289047889994719</v>
      </c>
      <c r="D16" s="8">
        <v>4.5186418914807767E-3</v>
      </c>
      <c r="E16" s="8">
        <v>7.9783098437083422E-3</v>
      </c>
      <c r="F16" s="28">
        <f t="shared" si="1"/>
        <v>3.4596679522275655E-3</v>
      </c>
    </row>
    <row r="17" spans="2:22" x14ac:dyDescent="0.3">
      <c r="B17" s="54" t="s">
        <v>44</v>
      </c>
      <c r="C17" s="59">
        <v>1.069066201727964</v>
      </c>
      <c r="D17" s="8">
        <v>5.1722020951353864E-3</v>
      </c>
      <c r="E17" s="8">
        <v>5.3214208137620442E-3</v>
      </c>
      <c r="F17" s="28">
        <f t="shared" si="1"/>
        <v>1.4921871862665775E-4</v>
      </c>
      <c r="I17" s="28"/>
    </row>
    <row r="18" spans="2:22" x14ac:dyDescent="0.3">
      <c r="B18" s="54" t="s">
        <v>45</v>
      </c>
      <c r="C18" s="59">
        <v>1.1007073661086531</v>
      </c>
      <c r="D18" s="8">
        <v>5.4436718635706705E-3</v>
      </c>
      <c r="E18" s="8">
        <v>6.9288135410347593E-3</v>
      </c>
      <c r="F18" s="28">
        <f t="shared" si="1"/>
        <v>1.4851416774640889E-3</v>
      </c>
      <c r="I18" s="28"/>
    </row>
    <row r="19" spans="2:22" x14ac:dyDescent="0.3">
      <c r="B19" s="54" t="s">
        <v>46</v>
      </c>
      <c r="C19" s="59">
        <v>0.920365899223757</v>
      </c>
      <c r="D19" s="8">
        <v>3.8964071780649319E-3</v>
      </c>
      <c r="E19" s="8">
        <v>6.5518805534664241E-3</v>
      </c>
      <c r="F19" s="28">
        <f t="shared" si="1"/>
        <v>2.6554733754014922E-3</v>
      </c>
      <c r="I19" s="28"/>
    </row>
    <row r="20" spans="2:22" x14ac:dyDescent="0.3">
      <c r="B20" s="54" t="s">
        <v>47</v>
      </c>
      <c r="C20" s="59">
        <v>1.5073615726662966</v>
      </c>
      <c r="D20" s="8">
        <v>8.9326181602124143E-3</v>
      </c>
      <c r="E20" s="8">
        <v>-7.7221345639838133E-4</v>
      </c>
      <c r="F20" s="75">
        <f t="shared" si="1"/>
        <v>-9.704831616610796E-3</v>
      </c>
      <c r="I20" s="28"/>
    </row>
    <row r="21" spans="2:22" x14ac:dyDescent="0.3">
      <c r="B21" s="54" t="s">
        <v>12</v>
      </c>
      <c r="C21" s="59">
        <v>1.2725012071004069</v>
      </c>
      <c r="D21" s="8">
        <v>6.9176010044686084E-3</v>
      </c>
      <c r="E21" s="8">
        <v>1.7396897908116257E-2</v>
      </c>
      <c r="F21" s="28">
        <f t="shared" si="1"/>
        <v>1.0479296903647649E-2</v>
      </c>
      <c r="I21" s="28"/>
    </row>
    <row r="22" spans="2:22" ht="14.5" x14ac:dyDescent="0.35">
      <c r="B22" s="54" t="s">
        <v>48</v>
      </c>
      <c r="C22" s="59">
        <v>1.3237998184280058</v>
      </c>
      <c r="D22" s="8">
        <v>7.3577245716864477E-3</v>
      </c>
      <c r="E22" s="8">
        <v>-2.1073168997166715E-3</v>
      </c>
      <c r="F22" s="75">
        <f t="shared" si="1"/>
        <v>-9.4650414714031184E-3</v>
      </c>
      <c r="I22" s="28"/>
      <c r="L22" s="45"/>
      <c r="M22" s="45"/>
      <c r="N22" s="45"/>
      <c r="O22" s="45"/>
      <c r="P22" s="45"/>
      <c r="Q22" s="45"/>
    </row>
    <row r="23" spans="2:22" x14ac:dyDescent="0.3">
      <c r="B23" s="54" t="s">
        <v>11</v>
      </c>
      <c r="C23" s="59">
        <v>0.17472645151380256</v>
      </c>
      <c r="D23" s="8">
        <v>-2.5009101194480776E-3</v>
      </c>
      <c r="E23" s="8">
        <v>3.4012698606636367E-2</v>
      </c>
      <c r="F23" s="28">
        <f t="shared" si="1"/>
        <v>3.6513608726084446E-2</v>
      </c>
      <c r="I23" s="28"/>
    </row>
    <row r="24" spans="2:22" x14ac:dyDescent="0.3">
      <c r="B24" s="54" t="s">
        <v>13</v>
      </c>
      <c r="C24" s="59">
        <v>0.66459106835178716</v>
      </c>
      <c r="D24" s="8">
        <v>1.7019514597802826E-3</v>
      </c>
      <c r="E24" s="8">
        <v>1.9868434168737327E-2</v>
      </c>
      <c r="F24" s="28">
        <f t="shared" si="1"/>
        <v>1.8166482708957044E-2</v>
      </c>
      <c r="I24" s="28"/>
    </row>
    <row r="25" spans="2:22" x14ac:dyDescent="0.3">
      <c r="B25" s="54" t="s">
        <v>49</v>
      </c>
      <c r="C25" s="59">
        <v>1.6026395059337688</v>
      </c>
      <c r="D25" s="8">
        <v>9.7500684338470631E-3</v>
      </c>
      <c r="E25" s="8">
        <v>2.6243704516471329E-3</v>
      </c>
      <c r="F25" s="75">
        <f t="shared" si="1"/>
        <v>-7.1256979821999302E-3</v>
      </c>
      <c r="I25" s="28"/>
    </row>
    <row r="26" spans="2:22" x14ac:dyDescent="0.3">
      <c r="B26" s="54" t="s">
        <v>14</v>
      </c>
      <c r="C26" s="59">
        <v>0.67721532190091371</v>
      </c>
      <c r="D26" s="8">
        <v>1.8102629980794645E-3</v>
      </c>
      <c r="E26" s="8">
        <v>3.4350656596959711E-2</v>
      </c>
      <c r="F26" s="28">
        <f t="shared" si="1"/>
        <v>3.2540393598880245E-2</v>
      </c>
      <c r="I26" s="28"/>
    </row>
    <row r="27" spans="2:22" ht="14.5" x14ac:dyDescent="0.35">
      <c r="B27" s="54" t="s">
        <v>17</v>
      </c>
      <c r="C27" s="59">
        <v>1.7214996160750407</v>
      </c>
      <c r="D27" s="8">
        <v>1.0769845272272652E-2</v>
      </c>
      <c r="E27" s="8">
        <v>3.3368444812851158E-2</v>
      </c>
      <c r="F27" s="28">
        <f t="shared" si="1"/>
        <v>2.2598599540578506E-2</v>
      </c>
      <c r="I27" s="28"/>
      <c r="L27" s="45"/>
      <c r="M27" s="45"/>
      <c r="N27" s="45"/>
      <c r="O27" s="45"/>
      <c r="P27" s="45"/>
      <c r="Q27" s="45"/>
      <c r="R27" s="45"/>
      <c r="S27" s="45"/>
      <c r="T27" s="45"/>
    </row>
    <row r="28" spans="2:22" ht="14.5" x14ac:dyDescent="0.35">
      <c r="B28" s="54" t="s">
        <v>50</v>
      </c>
      <c r="C28" s="59">
        <v>0.38431009814845479</v>
      </c>
      <c r="D28" s="8">
        <v>-7.0275808764562247E-4</v>
      </c>
      <c r="E28" s="8">
        <v>8.6763701650059127E-3</v>
      </c>
      <c r="F28" s="28">
        <f t="shared" si="1"/>
        <v>9.3791282526515356E-3</v>
      </c>
      <c r="I28" s="28"/>
      <c r="U28" s="45"/>
      <c r="V28" s="45"/>
    </row>
    <row r="29" spans="2:22" x14ac:dyDescent="0.3">
      <c r="B29" s="54" t="s">
        <v>51</v>
      </c>
      <c r="C29" s="59">
        <v>0.67064614382601229</v>
      </c>
      <c r="D29" s="8">
        <v>1.7539018215643543E-3</v>
      </c>
      <c r="E29" s="8">
        <v>6.7143675275954376E-3</v>
      </c>
      <c r="F29" s="28">
        <f t="shared" si="1"/>
        <v>4.9604657060310833E-3</v>
      </c>
      <c r="I29" s="28"/>
    </row>
    <row r="30" spans="2:22" x14ac:dyDescent="0.3">
      <c r="B30" s="54" t="s">
        <v>52</v>
      </c>
      <c r="C30" s="59">
        <v>0.5972675661464607</v>
      </c>
      <c r="D30" s="8">
        <v>1.1243401135592017E-3</v>
      </c>
      <c r="E30" s="8">
        <v>9.9157211126981865E-3</v>
      </c>
      <c r="F30" s="28">
        <f t="shared" si="1"/>
        <v>8.7913809991389848E-3</v>
      </c>
      <c r="I30" s="28"/>
    </row>
    <row r="31" spans="2:22" x14ac:dyDescent="0.3">
      <c r="B31" s="54" t="s">
        <v>53</v>
      </c>
      <c r="C31" s="59">
        <v>0.79392380241594962</v>
      </c>
      <c r="D31" s="8">
        <v>2.8115796310156102E-3</v>
      </c>
      <c r="E31" s="8">
        <v>4.7818605397556514E-3</v>
      </c>
      <c r="F31" s="28">
        <f t="shared" si="1"/>
        <v>1.9702809087400412E-3</v>
      </c>
      <c r="I31" s="28"/>
    </row>
    <row r="32" spans="2:22" x14ac:dyDescent="0.3">
      <c r="B32" s="54" t="s">
        <v>15</v>
      </c>
      <c r="C32" s="59">
        <v>1.2718585167782637</v>
      </c>
      <c r="D32" s="8">
        <v>6.9120869535054807E-3</v>
      </c>
      <c r="E32" s="8">
        <v>1.2239979045882679E-2</v>
      </c>
      <c r="F32" s="28">
        <f t="shared" si="1"/>
        <v>5.3278920923771986E-3</v>
      </c>
      <c r="I32" s="28"/>
    </row>
    <row r="33" spans="1:32" x14ac:dyDescent="0.3">
      <c r="B33" s="54" t="s">
        <v>54</v>
      </c>
      <c r="C33" s="59">
        <v>0.20964334475993945</v>
      </c>
      <c r="D33" s="8">
        <v>-2.2013357798326433E-3</v>
      </c>
      <c r="E33" s="8">
        <v>7.5572808797761629E-3</v>
      </c>
      <c r="F33" s="28">
        <f t="shared" si="1"/>
        <v>9.7586166596088063E-3</v>
      </c>
      <c r="I33" s="28"/>
      <c r="K33" s="59"/>
      <c r="M33" s="59"/>
    </row>
    <row r="34" spans="1:32" x14ac:dyDescent="0.3">
      <c r="B34" s="54" t="s">
        <v>55</v>
      </c>
      <c r="C34" s="59">
        <v>0.82550313013270238</v>
      </c>
      <c r="D34" s="8">
        <v>3.0825188631963618E-3</v>
      </c>
      <c r="E34" s="8">
        <v>-6.1493094837483642E-4</v>
      </c>
      <c r="F34" s="75">
        <f t="shared" si="1"/>
        <v>-3.6974498115711985E-3</v>
      </c>
      <c r="I34" s="28"/>
      <c r="K34" s="59"/>
      <c r="M34" s="59"/>
    </row>
    <row r="35" spans="1:32" ht="14.5" x14ac:dyDescent="0.35">
      <c r="B35" s="54" t="s">
        <v>56</v>
      </c>
      <c r="C35" s="59">
        <v>0.61175928801844071</v>
      </c>
      <c r="D35" s="8">
        <v>1.2486738559424615E-3</v>
      </c>
      <c r="E35" s="8">
        <v>-2.6173178187012709E-3</v>
      </c>
      <c r="F35" s="75">
        <f t="shared" si="1"/>
        <v>-3.8659916746437324E-3</v>
      </c>
      <c r="I35" s="28"/>
      <c r="K35" s="59"/>
      <c r="M35" s="59"/>
      <c r="N35" s="76"/>
      <c r="O35" s="76"/>
    </row>
    <row r="36" spans="1:32" x14ac:dyDescent="0.3">
      <c r="B36" s="54" t="s">
        <v>57</v>
      </c>
      <c r="C36" s="59">
        <v>1.2161942695850836</v>
      </c>
      <c r="D36" s="8">
        <v>6.4345078064852301E-3</v>
      </c>
      <c r="E36" s="8">
        <v>-1.5585568749412599E-3</v>
      </c>
      <c r="F36" s="75">
        <f t="shared" si="1"/>
        <v>-7.9930646814264893E-3</v>
      </c>
      <c r="I36" s="28"/>
      <c r="K36" s="59"/>
      <c r="M36" s="59"/>
    </row>
    <row r="37" spans="1:32" x14ac:dyDescent="0.3">
      <c r="B37" s="54" t="s">
        <v>58</v>
      </c>
      <c r="C37" s="59">
        <v>1.3506854390910561</v>
      </c>
      <c r="D37" s="8">
        <v>7.5883934916991264E-3</v>
      </c>
      <c r="E37" s="8">
        <v>-7.798403172385969E-3</v>
      </c>
      <c r="F37" s="75">
        <f t="shared" si="1"/>
        <v>-1.5386796664085095E-2</v>
      </c>
      <c r="I37" s="28"/>
      <c r="K37" s="59"/>
      <c r="M37" s="59"/>
    </row>
    <row r="38" spans="1:32" x14ac:dyDescent="0.3">
      <c r="B38" s="54" t="s">
        <v>59</v>
      </c>
      <c r="C38" s="59">
        <v>1.9859547130383701</v>
      </c>
      <c r="D38" s="8">
        <v>1.303877454018483E-2</v>
      </c>
      <c r="E38" s="8">
        <v>-7.519232637903564E-3</v>
      </c>
      <c r="F38" s="75">
        <f t="shared" si="1"/>
        <v>-2.0558007178088394E-2</v>
      </c>
      <c r="I38" s="28"/>
      <c r="K38" s="59"/>
      <c r="M38" s="59"/>
    </row>
    <row r="39" spans="1:32" x14ac:dyDescent="0.3">
      <c r="B39" s="54" t="s">
        <v>16</v>
      </c>
      <c r="C39" s="59">
        <v>0.55291642018318832</v>
      </c>
      <c r="D39" s="8">
        <v>7.4382329124411672E-4</v>
      </c>
      <c r="E39" s="8">
        <v>2.1610757701367812E-2</v>
      </c>
      <c r="F39" s="28">
        <f t="shared" si="1"/>
        <v>2.0866934410123696E-2</v>
      </c>
      <c r="I39" s="28"/>
      <c r="K39" s="59"/>
      <c r="M39" s="59"/>
    </row>
    <row r="40" spans="1:32" x14ac:dyDescent="0.3">
      <c r="B40" s="54" t="s">
        <v>60</v>
      </c>
      <c r="C40" s="59">
        <v>0.89845835363597448</v>
      </c>
      <c r="D40" s="8">
        <v>3.7084483451930795E-3</v>
      </c>
      <c r="E40" s="8">
        <v>5.2997146708404106E-3</v>
      </c>
      <c r="F40" s="28">
        <f t="shared" si="1"/>
        <v>1.5912663256473312E-3</v>
      </c>
      <c r="I40" s="28"/>
      <c r="K40" s="59"/>
      <c r="M40" s="59"/>
    </row>
    <row r="41" spans="1:32" x14ac:dyDescent="0.3">
      <c r="B41" s="54" t="s">
        <v>61</v>
      </c>
      <c r="C41" s="59">
        <v>1.7919674674118251</v>
      </c>
      <c r="D41" s="8">
        <v>1.137443399898222E-2</v>
      </c>
      <c r="E41" s="8">
        <v>-9.5495114311798957E-3</v>
      </c>
      <c r="F41" s="75">
        <f t="shared" si="1"/>
        <v>-2.0923945430162114E-2</v>
      </c>
      <c r="I41" s="28"/>
      <c r="K41" s="59"/>
      <c r="M41" s="59"/>
    </row>
    <row r="42" spans="1:32" x14ac:dyDescent="0.3">
      <c r="B42" s="54" t="s">
        <v>62</v>
      </c>
      <c r="C42" s="59">
        <v>0.89341069721917443</v>
      </c>
      <c r="D42" s="8">
        <v>3.6651412752596512E-3</v>
      </c>
      <c r="E42" s="8">
        <v>3.9425184826952812E-3</v>
      </c>
      <c r="F42" s="75">
        <f t="shared" si="1"/>
        <v>2.7737720743562996E-4</v>
      </c>
      <c r="I42" s="28"/>
      <c r="K42" s="59"/>
      <c r="M42" s="59"/>
    </row>
    <row r="43" spans="1:32" ht="14.5" x14ac:dyDescent="0.35">
      <c r="I43" s="28"/>
      <c r="K43" s="59"/>
      <c r="M43" s="59"/>
      <c r="N43" s="45"/>
      <c r="O43" s="45"/>
      <c r="P43" s="45"/>
      <c r="Q43" s="45"/>
      <c r="R43" s="45"/>
      <c r="S43" s="45"/>
    </row>
    <row r="44" spans="1:32" x14ac:dyDescent="0.3">
      <c r="I44" s="28"/>
      <c r="K44" s="59"/>
      <c r="M44" s="59"/>
    </row>
    <row r="45" spans="1:32" ht="14.5" x14ac:dyDescent="0.35">
      <c r="A45" s="45"/>
      <c r="B45" s="45"/>
      <c r="C45" s="45"/>
      <c r="D45" s="45"/>
      <c r="E45" s="45"/>
      <c r="F45" s="45"/>
      <c r="G45" s="45"/>
      <c r="H45" s="45"/>
      <c r="I45" s="28"/>
      <c r="K45" s="59"/>
      <c r="M45" s="59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x14ac:dyDescent="0.3">
      <c r="I46" s="28"/>
      <c r="K46" s="59"/>
      <c r="M46" s="59"/>
    </row>
    <row r="47" spans="1:32" x14ac:dyDescent="0.3">
      <c r="K47" s="59"/>
      <c r="M47" s="59"/>
    </row>
    <row r="48" spans="1:32" x14ac:dyDescent="0.3">
      <c r="K48" s="59"/>
      <c r="M48" s="59"/>
    </row>
    <row r="49" spans="11:13" x14ac:dyDescent="0.3">
      <c r="K49" s="59"/>
      <c r="M49" s="59"/>
    </row>
    <row r="50" spans="11:13" x14ac:dyDescent="0.3">
      <c r="K50" s="59"/>
      <c r="M50" s="59"/>
    </row>
    <row r="51" spans="11:13" x14ac:dyDescent="0.3">
      <c r="K51" s="59"/>
      <c r="M51" s="59"/>
    </row>
    <row r="52" spans="11:13" x14ac:dyDescent="0.3">
      <c r="K52" s="59"/>
      <c r="M52" s="59"/>
    </row>
    <row r="53" spans="11:13" x14ac:dyDescent="0.3">
      <c r="K53" s="59"/>
      <c r="M53" s="59"/>
    </row>
    <row r="54" spans="11:13" x14ac:dyDescent="0.3">
      <c r="K54" s="59"/>
      <c r="M54" s="59"/>
    </row>
    <row r="55" spans="11:13" x14ac:dyDescent="0.3">
      <c r="K55" s="59"/>
      <c r="M55" s="59"/>
    </row>
    <row r="56" spans="11:13" x14ac:dyDescent="0.3">
      <c r="K56" s="59"/>
      <c r="M56" s="59"/>
    </row>
    <row r="57" spans="11:13" x14ac:dyDescent="0.3">
      <c r="K57" s="59"/>
      <c r="M57" s="59"/>
    </row>
    <row r="58" spans="11:13" x14ac:dyDescent="0.3">
      <c r="K58" s="59"/>
      <c r="M58" s="59"/>
    </row>
    <row r="59" spans="11:13" x14ac:dyDescent="0.3">
      <c r="K59" s="59"/>
      <c r="M59" s="59"/>
    </row>
    <row r="60" spans="11:13" x14ac:dyDescent="0.3">
      <c r="K60" s="59"/>
      <c r="M60" s="59"/>
    </row>
    <row r="61" spans="11:13" x14ac:dyDescent="0.3">
      <c r="K61" s="59"/>
      <c r="M61" s="59"/>
    </row>
    <row r="62" spans="11:13" x14ac:dyDescent="0.3">
      <c r="K62" s="59"/>
      <c r="M62" s="59"/>
    </row>
    <row r="70" spans="8:16" x14ac:dyDescent="0.3">
      <c r="H70" s="28"/>
    </row>
    <row r="71" spans="8:16" ht="14.5" x14ac:dyDescent="0.35">
      <c r="H71" s="28"/>
      <c r="K71" s="76"/>
      <c r="L71" s="76"/>
    </row>
    <row r="72" spans="8:16" x14ac:dyDescent="0.3">
      <c r="H72" s="28"/>
    </row>
    <row r="73" spans="8:16" x14ac:dyDescent="0.3">
      <c r="H73" s="28"/>
    </row>
    <row r="74" spans="8:16" x14ac:dyDescent="0.3">
      <c r="H74" s="28"/>
    </row>
    <row r="75" spans="8:16" x14ac:dyDescent="0.3">
      <c r="H75" s="28"/>
    </row>
    <row r="76" spans="8:16" x14ac:dyDescent="0.3">
      <c r="H76" s="28"/>
    </row>
    <row r="77" spans="8:16" x14ac:dyDescent="0.3">
      <c r="H77" s="28"/>
    </row>
    <row r="78" spans="8:16" x14ac:dyDescent="0.3">
      <c r="H78" s="28"/>
    </row>
    <row r="79" spans="8:16" ht="14.5" x14ac:dyDescent="0.35">
      <c r="H79" s="28"/>
      <c r="K79" s="45"/>
      <c r="L79" s="45"/>
      <c r="M79" s="45"/>
      <c r="N79" s="45"/>
      <c r="O79" s="45"/>
      <c r="P79" s="45"/>
    </row>
    <row r="80" spans="8:16" x14ac:dyDescent="0.3">
      <c r="H80" s="28"/>
    </row>
    <row r="81" spans="8:8" x14ac:dyDescent="0.3">
      <c r="H81" s="28"/>
    </row>
    <row r="82" spans="8:8" x14ac:dyDescent="0.3">
      <c r="H82" s="28"/>
    </row>
    <row r="83" spans="8:8" x14ac:dyDescent="0.3">
      <c r="H83" s="28"/>
    </row>
    <row r="84" spans="8:8" x14ac:dyDescent="0.3">
      <c r="H84" s="28"/>
    </row>
    <row r="85" spans="8:8" x14ac:dyDescent="0.3">
      <c r="H85" s="28"/>
    </row>
    <row r="86" spans="8:8" x14ac:dyDescent="0.3">
      <c r="H86" s="28"/>
    </row>
    <row r="87" spans="8:8" x14ac:dyDescent="0.3">
      <c r="H87" s="28"/>
    </row>
    <row r="88" spans="8:8" x14ac:dyDescent="0.3">
      <c r="H88" s="28"/>
    </row>
    <row r="89" spans="8:8" x14ac:dyDescent="0.3">
      <c r="H89" s="28"/>
    </row>
    <row r="90" spans="8:8" x14ac:dyDescent="0.3">
      <c r="H90" s="28"/>
    </row>
    <row r="91" spans="8:8" x14ac:dyDescent="0.3">
      <c r="H91" s="28"/>
    </row>
    <row r="92" spans="8:8" x14ac:dyDescent="0.3">
      <c r="H92" s="28"/>
    </row>
    <row r="93" spans="8:8" x14ac:dyDescent="0.3">
      <c r="H93" s="28"/>
    </row>
    <row r="94" spans="8:8" x14ac:dyDescent="0.3">
      <c r="H94" s="28"/>
    </row>
    <row r="95" spans="8:8" x14ac:dyDescent="0.3">
      <c r="H95" s="28"/>
    </row>
    <row r="96" spans="8:8" x14ac:dyDescent="0.3">
      <c r="H96" s="28"/>
    </row>
    <row r="97" spans="8:8" x14ac:dyDescent="0.3">
      <c r="H97" s="28"/>
    </row>
    <row r="98" spans="8:8" x14ac:dyDescent="0.3">
      <c r="H98" s="28"/>
    </row>
    <row r="99" spans="8:8" x14ac:dyDescent="0.3">
      <c r="H99" s="2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9</vt:i4>
      </vt:variant>
      <vt:variant>
        <vt:lpstr>Phạm vi Có tên</vt:lpstr>
      </vt:variant>
      <vt:variant>
        <vt:i4>34</vt:i4>
      </vt:variant>
    </vt:vector>
  </HeadingPairs>
  <TitlesOfParts>
    <vt:vector size="43" baseType="lpstr">
      <vt:lpstr>READ ME</vt:lpstr>
      <vt:lpstr>Price</vt:lpstr>
      <vt:lpstr>ROR-Var-Sd</vt:lpstr>
      <vt:lpstr>Var-Cov Matrix</vt:lpstr>
      <vt:lpstr>EfficientFrontier w SS</vt:lpstr>
      <vt:lpstr>Efficient Frontier wo SS</vt:lpstr>
      <vt:lpstr>Short vs No Short</vt:lpstr>
      <vt:lpstr>CML</vt:lpstr>
      <vt:lpstr>SML</vt:lpstr>
      <vt:lpstr>Constant</vt:lpstr>
      <vt:lpstr>Portfolio_mean</vt:lpstr>
      <vt:lpstr>Portfolio_sigma</vt:lpstr>
      <vt:lpstr>RESULTS</vt:lpstr>
      <vt:lpstr>x_1</vt:lpstr>
      <vt:lpstr>x_10</vt:lpstr>
      <vt:lpstr>x_11</vt:lpstr>
      <vt:lpstr>x_12</vt:lpstr>
      <vt:lpstr>x_13</vt:lpstr>
      <vt:lpstr>x_14</vt:lpstr>
      <vt:lpstr>x_15</vt:lpstr>
      <vt:lpstr>x_16</vt:lpstr>
      <vt:lpstr>x_17</vt:lpstr>
      <vt:lpstr>x_18</vt:lpstr>
      <vt:lpstr>x_19</vt:lpstr>
      <vt:lpstr>x_2</vt:lpstr>
      <vt:lpstr>x_20</vt:lpstr>
      <vt:lpstr>x_21</vt:lpstr>
      <vt:lpstr>x_22</vt:lpstr>
      <vt:lpstr>x_23</vt:lpstr>
      <vt:lpstr>x_24</vt:lpstr>
      <vt:lpstr>x_25</vt:lpstr>
      <vt:lpstr>x_26</vt:lpstr>
      <vt:lpstr>x_27</vt:lpstr>
      <vt:lpstr>x_28</vt:lpstr>
      <vt:lpstr>x_29</vt:lpstr>
      <vt:lpstr>x_3</vt:lpstr>
      <vt:lpstr>x_30</vt:lpstr>
      <vt:lpstr>x_4</vt:lpstr>
      <vt:lpstr>x_5</vt:lpstr>
      <vt:lpstr>x_6</vt:lpstr>
      <vt:lpstr>x_7</vt:lpstr>
      <vt:lpstr>x_8</vt:lpstr>
      <vt:lpstr>x_9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Amber Le</cp:lastModifiedBy>
  <cp:lastPrinted>2023-05-04T11:23:12Z</cp:lastPrinted>
  <dcterms:created xsi:type="dcterms:W3CDTF">2021-04-14T13:45:52Z</dcterms:created>
  <dcterms:modified xsi:type="dcterms:W3CDTF">2023-05-15T14:46:13Z</dcterms:modified>
</cp:coreProperties>
</file>